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tagouni-my.sharepoint.com/personal/dejlu44p_registry_otago_ac_nz/Documents/Documents/"/>
    </mc:Choice>
  </mc:AlternateContent>
  <xr:revisionPtr revIDLastSave="17" documentId="8_{F34F8272-BB84-4A26-9B9A-F3169B53845C}" xr6:coauthVersionLast="47" xr6:coauthVersionMax="47" xr10:uidLastSave="{2FFA611D-1A30-4ADE-A88F-4CCECF3159C5}"/>
  <bookViews>
    <workbookView xWindow="3510" yWindow="3510" windowWidth="32775" windowHeight="14805" xr2:uid="{57E70418-D630-4BEC-9357-06168A9F9501}"/>
  </bookViews>
  <sheets>
    <sheet name="panel_metadata_template" sheetId="1" r:id="rId1"/>
  </sheets>
  <definedNames>
    <definedName name="_xlnm._FilterDatabase" localSheetId="0" hidden="1">panel_metadata_template!$A$1:$X$188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66" i="1" l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<sst xmlns="http://schemas.openxmlformats.org/spreadsheetml/2006/main" count="1792" uniqueCount="486">
  <si>
    <t>ID</t>
  </si>
  <si>
    <t>Biomarker name</t>
  </si>
  <si>
    <t>Biomarker Type (snv, sv, mod, area_mutations, expression, exp_ratio, immune_ratio, immune_inf, microsatellite, composite, demographic, clinicopathology)</t>
  </si>
  <si>
    <t>Panel or Area of Interest?</t>
  </si>
  <si>
    <t>Is this record the whole gene?</t>
  </si>
  <si>
    <t>Is variant in coding region?</t>
  </si>
  <si>
    <t>SNP ID</t>
  </si>
  <si>
    <t>Result Options</t>
  </si>
  <si>
    <t>Illumina EPIC ID</t>
  </si>
  <si>
    <t>Expression Ratio Components</t>
  </si>
  <si>
    <t>DNA methylation region</t>
  </si>
  <si>
    <t>Scoring Type (categorical, continuous, genotypic)</t>
  </si>
  <si>
    <t>Notes</t>
  </si>
  <si>
    <t>WARNINGS</t>
  </si>
  <si>
    <t>References</t>
  </si>
  <si>
    <t>chrom</t>
  </si>
  <si>
    <t>start pos</t>
  </si>
  <si>
    <t>end pos</t>
  </si>
  <si>
    <t>length</t>
  </si>
  <si>
    <t>strand</t>
  </si>
  <si>
    <t>Result</t>
  </si>
  <si>
    <t>001</t>
  </si>
  <si>
    <t>ESR1</t>
  </si>
  <si>
    <t>expression</t>
  </si>
  <si>
    <t>Panel</t>
  </si>
  <si>
    <t>Estrogen Receptor + AND Ovarian Function;HR+;HR+/HER2-;HR+/HER2-, Ki-67-high;HR+/HER2-, low immune activity;TNBC;TNBC + BRCA1/2 mut;HR+, PIK3CA-mut;HR+, Trop-2-mut;PDL1+, TNBC;HER2-low and HER2-ultralow, TNBC;TNBC basal-like immune suppressed;TNBC basal-like immune activated;TNBC mesenchymal;TNBC luminal androgen receptor;OncoType Dx</t>
  </si>
  <si>
    <t>Yes</t>
  </si>
  <si>
    <t>N/A</t>
  </si>
  <si>
    <t>0.0-1.0</t>
  </si>
  <si>
    <t>continuous</t>
  </si>
  <si>
    <t>hg38</t>
  </si>
  <si>
    <t>Bai, J.; Gao, Y.; Zhang, G. The Treatment of Breast Cancer in the Era of Precision Medicine. Cancer Biol Med 2025, 22 (4), 322–347. https://doi.org/10.20892/j.issn.2095-3941.2024.0510.;https://aacrjournals.org/clincancerres/article/14/9/2601/73499/A-Five-Gene-Molecular-Grade-Index-and-HOXB13?guestAccessKey=</t>
  </si>
  <si>
    <t>chr6</t>
  </si>
  <si>
    <t>+</t>
  </si>
  <si>
    <t>002</t>
  </si>
  <si>
    <t>ESR2</t>
  </si>
  <si>
    <t>Bai, J.; Gao, Y.; Zhang, G. The Treatment of Breast Cancer in the Era of Precision Medicine. Cancer Biol Med 2025, 22 (4), 322–347. https://doi.org/10.20892/j.issn.2095-3941.2024.0510.</t>
  </si>
  <si>
    <t>chr14</t>
  </si>
  <si>
    <t>-</t>
  </si>
  <si>
    <t>003</t>
  </si>
  <si>
    <t>PGR</t>
  </si>
  <si>
    <t>HR+;HR+/HER2-;HR+/HER2-, Ki-67-high;HR+/HER2-, low immune activity;TNBC;TNBC + BRCA1/2 mut;HR+, PIK3CA-mut;HR+, Trop-2-mut;PDL1+, TNBC;HER2-low and HER2-ultralow, TNBC;TNBC basal-like immune suppressed;TNBC basal-like immune activated;TNBC mesenchymal;TNBC luminal androgen receptor;OncoType Dx</t>
  </si>
  <si>
    <t>chr11</t>
  </si>
  <si>
    <t>004</t>
  </si>
  <si>
    <t>ERBB2</t>
  </si>
  <si>
    <t>HER2-;HER2+;HR+/HER2-;Her2-low;HER2-ultralow;HR+/HER2-, Ki-67-high;HR+/HER2-, low immune activity;TNBC;TNBC + BRCA1/2 mut;PDL1+, TNBC;HER2-low and HER2-ultralow, TNBC;TNBC basal-like immune suppressed;TNBC basal-like immune activated;TNBC mesenchymal;TNBC luminal androgen receptor;OncoType Dx</t>
  </si>
  <si>
    <t>chr17</t>
  </si>
  <si>
    <t>005</t>
  </si>
  <si>
    <t>BRCA1</t>
  </si>
  <si>
    <t>area_mutations</t>
  </si>
  <si>
    <t>BRCA1/2 mut;TNBC + BRCA1/2 mut;Oncogene</t>
  </si>
  <si>
    <t>006</t>
  </si>
  <si>
    <t>BRCA2</t>
  </si>
  <si>
    <t>chr13</t>
  </si>
  <si>
    <t>007</t>
  </si>
  <si>
    <t>BARD1</t>
  </si>
  <si>
    <t>chr2</t>
  </si>
  <si>
    <t>008</t>
  </si>
  <si>
    <t>PALB2</t>
  </si>
  <si>
    <t>chr16</t>
  </si>
  <si>
    <t>009</t>
  </si>
  <si>
    <t>AKT1</t>
  </si>
  <si>
    <t>010</t>
  </si>
  <si>
    <t>NTRK1</t>
  </si>
  <si>
    <t>chr1</t>
  </si>
  <si>
    <t>011</t>
  </si>
  <si>
    <t>NTRK2</t>
  </si>
  <si>
    <t>chr9</t>
  </si>
  <si>
    <t>012</t>
  </si>
  <si>
    <t>NTRK3</t>
  </si>
  <si>
    <t>chr15</t>
  </si>
  <si>
    <t>013</t>
  </si>
  <si>
    <t>RET</t>
  </si>
  <si>
    <t>chr10</t>
  </si>
  <si>
    <t>014</t>
  </si>
  <si>
    <t>FGFR1</t>
  </si>
  <si>
    <t>chr8</t>
  </si>
  <si>
    <t>015</t>
  </si>
  <si>
    <t>FGFR2</t>
  </si>
  <si>
    <t>016</t>
  </si>
  <si>
    <t>FGFR3</t>
  </si>
  <si>
    <t>chr4</t>
  </si>
  <si>
    <t>017</t>
  </si>
  <si>
    <t>FGFR4</t>
  </si>
  <si>
    <t>chr5</t>
  </si>
  <si>
    <t>018</t>
  </si>
  <si>
    <t>FGFR1OP2</t>
  </si>
  <si>
    <t>chr12</t>
  </si>
  <si>
    <t>019</t>
  </si>
  <si>
    <t>FGFRL1</t>
  </si>
  <si>
    <t>020</t>
  </si>
  <si>
    <t>AR</t>
  </si>
  <si>
    <t>TNBC luminal androgen receptor</t>
  </si>
  <si>
    <t>chrX</t>
  </si>
  <si>
    <t>021</t>
  </si>
  <si>
    <t xml:space="preserve">CCND1 </t>
  </si>
  <si>
    <t>CCND1+</t>
  </si>
  <si>
    <t>022</t>
  </si>
  <si>
    <t>MKI67</t>
  </si>
  <si>
    <t>HR+/HER2-, Ki-67-high;OncoType Dx</t>
  </si>
  <si>
    <t>Ki-67</t>
  </si>
  <si>
    <t>023</t>
  </si>
  <si>
    <t>ESR1-mut</t>
  </si>
  <si>
    <t>024</t>
  </si>
  <si>
    <t>PIK3CA</t>
  </si>
  <si>
    <t>HR+, PIK3CA-mut;Oncogene</t>
  </si>
  <si>
    <t>chr3</t>
  </si>
  <si>
    <t>025</t>
  </si>
  <si>
    <t>TP53</t>
  </si>
  <si>
    <t>Oncogene</t>
  </si>
  <si>
    <t>026</t>
  </si>
  <si>
    <t>TACSTD2</t>
  </si>
  <si>
    <t>TROP2 expression</t>
  </si>
  <si>
    <t>TACSTD2=TROP2</t>
  </si>
  <si>
    <t>027</t>
  </si>
  <si>
    <t>HR+, Trop-2-mut</t>
  </si>
  <si>
    <t>TACSTD2=TROP3</t>
  </si>
  <si>
    <t>028</t>
  </si>
  <si>
    <t>CD274</t>
  </si>
  <si>
    <t>PDL1+, TNBC;PD1-PDL1 checkpoint</t>
  </si>
  <si>
    <t>PD1-checkpoint</t>
  </si>
  <si>
    <t>029</t>
  </si>
  <si>
    <t>PTEN</t>
  </si>
  <si>
    <t>PTEN-mut</t>
  </si>
  <si>
    <t>030</t>
  </si>
  <si>
    <t>sv</t>
  </si>
  <si>
    <t>TROP2-CyclinD1 fusion</t>
  </si>
  <si>
    <t>present/absent</t>
  </si>
  <si>
    <t>TACSTD2/CCND1</t>
  </si>
  <si>
    <t>categorical</t>
  </si>
  <si>
    <t>031</t>
  </si>
  <si>
    <t>CCND1</t>
  </si>
  <si>
    <t>TACSTD2/CCND2</t>
  </si>
  <si>
    <t>032</t>
  </si>
  <si>
    <t>PDCD1</t>
  </si>
  <si>
    <t>PD1-PDL1 checkpoint</t>
  </si>
  <si>
    <t>033</t>
  </si>
  <si>
    <t>CTLA4</t>
  </si>
  <si>
    <t>CTLA4 checkpoint</t>
  </si>
  <si>
    <t>034</t>
  </si>
  <si>
    <t>CD80</t>
  </si>
  <si>
    <t>035</t>
  </si>
  <si>
    <t>CD86</t>
  </si>
  <si>
    <t>036</t>
  </si>
  <si>
    <t>RRM2</t>
  </si>
  <si>
    <t>Molecular Grade Index/MGI</t>
  </si>
  <si>
    <t>Noordhoek, I.; Treuner, K.; Putter, H.; Zhang, Y.; Wong, J.; Meershoek-Klein Kranenbarg, E.; Duijm-de Carpentier, M.; van de Velde, C. J. H.; Schnabel, C. A.; Liefers, G.-J. Breast Cancer Index Predicts Extended Endocrine Benefit to Individualize Selection of Patients with HR+ Early-Stage Breast Cancer for 10 Years of Endocrine Therapy. Clin Cancer Res 2021, 27 (1), 311–319. https://doi.org/10.1158/1078-0432.CCR-20-2737.</t>
  </si>
  <si>
    <t>037</t>
  </si>
  <si>
    <t>RACGAP1</t>
  </si>
  <si>
    <t>038</t>
  </si>
  <si>
    <t>NEK2</t>
  </si>
  <si>
    <t>039</t>
  </si>
  <si>
    <t>CENPA</t>
  </si>
  <si>
    <t>040</t>
  </si>
  <si>
    <t>BUB1B</t>
  </si>
  <si>
    <t>041</t>
  </si>
  <si>
    <t>IGF1R</t>
  </si>
  <si>
    <t>Insulin-Growth-factor</t>
  </si>
  <si>
    <t>Ekyalongo, R. C.; Yee, D. Revisiting the IGF-1R as a Breast Cancer Target. npj Precision Onc 2017, 1 (1), 14. https://doi.org/10.1038/s41698-017-0017-y.</t>
  </si>
  <si>
    <t>042</t>
  </si>
  <si>
    <t>HOXB13</t>
  </si>
  <si>
    <t>exp_ratio</t>
  </si>
  <si>
    <t>Breast Cancer Index/BCI</t>
  </si>
  <si>
    <t>0.0-10.0</t>
  </si>
  <si>
    <t>HOXB13/IL17BR</t>
  </si>
  <si>
    <t>043</t>
  </si>
  <si>
    <t>IL17BR</t>
  </si>
  <si>
    <t>044</t>
  </si>
  <si>
    <t>AURKA</t>
  </si>
  <si>
    <t>OncoType Dx</t>
  </si>
  <si>
    <t>AKA STK15</t>
  </si>
  <si>
    <t>https://www.oncotypedxtest.com/healthcare-professionals/what-is-the-oncotype-dx-test</t>
  </si>
  <si>
    <t>chr20</t>
  </si>
  <si>
    <t>045</t>
  </si>
  <si>
    <t>BIRC5</t>
  </si>
  <si>
    <t>046</t>
  </si>
  <si>
    <t>CCNB1</t>
  </si>
  <si>
    <t>047</t>
  </si>
  <si>
    <t>MYBL2</t>
  </si>
  <si>
    <t>048</t>
  </si>
  <si>
    <t>BCL2</t>
  </si>
  <si>
    <t>chr18</t>
  </si>
  <si>
    <t>049</t>
  </si>
  <si>
    <t>SCUBE2</t>
  </si>
  <si>
    <t>050</t>
  </si>
  <si>
    <t>MMP11</t>
  </si>
  <si>
    <t>AKA Stromelysin 3</t>
  </si>
  <si>
    <t>chr22</t>
  </si>
  <si>
    <t>051</t>
  </si>
  <si>
    <t>CTSV</t>
  </si>
  <si>
    <t>AKA Cathepsin L2</t>
  </si>
  <si>
    <t>052</t>
  </si>
  <si>
    <t>GSTM1</t>
  </si>
  <si>
    <t>053</t>
  </si>
  <si>
    <t>BAG1</t>
  </si>
  <si>
    <t>054</t>
  </si>
  <si>
    <t>CD68</t>
  </si>
  <si>
    <t>055</t>
  </si>
  <si>
    <t>GRB7</t>
  </si>
  <si>
    <t>056</t>
  </si>
  <si>
    <t>ACTB</t>
  </si>
  <si>
    <t>Reference in qPCR</t>
  </si>
  <si>
    <t>chr7</t>
  </si>
  <si>
    <t>057</t>
  </si>
  <si>
    <t>GAPDH</t>
  </si>
  <si>
    <t>058</t>
  </si>
  <si>
    <t>RPLP0</t>
  </si>
  <si>
    <t>059</t>
  </si>
  <si>
    <t>GUSB</t>
  </si>
  <si>
    <t>060</t>
  </si>
  <si>
    <t>TFRC</t>
  </si>
  <si>
    <t>061</t>
  </si>
  <si>
    <t>APOBEC3A</t>
  </si>
  <si>
    <t>APOBEC3A inhibitors</t>
  </si>
  <si>
    <t>mutational signature etc, CNV and dif ancestries (possibly)</t>
  </si>
  <si>
    <t>Harjes, S.; Kurup, H. M.; Rieffer, A. E.; Bayarjargal, M.; Filitcheva, J.; Su, Y.; Hale, T. K.; Filichev, V. V.; Harjes, E.; Harris, R. S.; Jameson, G. B. Structure-Guided Inhibition of the Cancer DNA-Mutating Enzyme APOBEC3A. Nat Commun 2023, 14 (1), 6382. https://doi.org/10.1038/s41467-023-42174-w.</t>
  </si>
  <si>
    <t>062</t>
  </si>
  <si>
    <t>APOBEC3A-CN</t>
  </si>
  <si>
    <t>-6-6</t>
  </si>
  <si>
    <t>063</t>
  </si>
  <si>
    <t>ARID1A</t>
  </si>
  <si>
    <t>protein_coding</t>
  </si>
  <si>
    <t>064</t>
  </si>
  <si>
    <t>CSF3R</t>
  </si>
  <si>
    <t>065</t>
  </si>
  <si>
    <t>MPL</t>
  </si>
  <si>
    <t>066</t>
  </si>
  <si>
    <t>MUTYH</t>
  </si>
  <si>
    <t>067</t>
  </si>
  <si>
    <t>NRAS</t>
  </si>
  <si>
    <t>068</t>
  </si>
  <si>
    <t>NOTCH2</t>
  </si>
  <si>
    <t>069</t>
  </si>
  <si>
    <t>BMPR1A</t>
  </si>
  <si>
    <t>070</t>
  </si>
  <si>
    <t>BIRC3</t>
  </si>
  <si>
    <t>071</t>
  </si>
  <si>
    <t>ATM</t>
  </si>
  <si>
    <t>072</t>
  </si>
  <si>
    <t>CBL</t>
  </si>
  <si>
    <t>073</t>
  </si>
  <si>
    <t>ETNK1</t>
  </si>
  <si>
    <t>074</t>
  </si>
  <si>
    <t>KRAS</t>
  </si>
  <si>
    <t>075</t>
  </si>
  <si>
    <t>SH2B3</t>
  </si>
  <si>
    <t>076</t>
  </si>
  <si>
    <t>POLE</t>
  </si>
  <si>
    <t>077</t>
  </si>
  <si>
    <t>FLT3</t>
  </si>
  <si>
    <t>078</t>
  </si>
  <si>
    <t>MAP2K1</t>
  </si>
  <si>
    <t>079</t>
  </si>
  <si>
    <t>IDH2</t>
  </si>
  <si>
    <t>080</t>
  </si>
  <si>
    <t>IDH2-DT</t>
  </si>
  <si>
    <t>lncRNA</t>
  </si>
  <si>
    <t>081</t>
  </si>
  <si>
    <t>NTHL1</t>
  </si>
  <si>
    <t>082</t>
  </si>
  <si>
    <t>CDH1</t>
  </si>
  <si>
    <t>083</t>
  </si>
  <si>
    <t>PLCG2</t>
  </si>
  <si>
    <t>084</t>
  </si>
  <si>
    <t>NF1</t>
  </si>
  <si>
    <t>085</t>
  </si>
  <si>
    <t>RAD51D</t>
  </si>
  <si>
    <t>086</t>
  </si>
  <si>
    <t>STAT5B</t>
  </si>
  <si>
    <t>087</t>
  </si>
  <si>
    <t>STAT3</t>
  </si>
  <si>
    <t>088</t>
  </si>
  <si>
    <t>HOXB1</t>
  </si>
  <si>
    <t>089</t>
  </si>
  <si>
    <t>RNF43</t>
  </si>
  <si>
    <t>090</t>
  </si>
  <si>
    <t>RAD51C</t>
  </si>
  <si>
    <t>091</t>
  </si>
  <si>
    <t>BRIP1</t>
  </si>
  <si>
    <t>092</t>
  </si>
  <si>
    <t>CD79B</t>
  </si>
  <si>
    <t>093</t>
  </si>
  <si>
    <t>SRSF2</t>
  </si>
  <si>
    <t>094</t>
  </si>
  <si>
    <t>SETBP1-DT</t>
  </si>
  <si>
    <t>095</t>
  </si>
  <si>
    <t>SETBP1</t>
  </si>
  <si>
    <t>096</t>
  </si>
  <si>
    <t>SMAD4</t>
  </si>
  <si>
    <t>097</t>
  </si>
  <si>
    <t>STK11</t>
  </si>
  <si>
    <t>chr19</t>
  </si>
  <si>
    <t>098</t>
  </si>
  <si>
    <t>CALR</t>
  </si>
  <si>
    <t>099</t>
  </si>
  <si>
    <t>JAK3</t>
  </si>
  <si>
    <t>100</t>
  </si>
  <si>
    <t>CD79A</t>
  </si>
  <si>
    <t>101</t>
  </si>
  <si>
    <t>POLD1</t>
  </si>
  <si>
    <t>102</t>
  </si>
  <si>
    <t>CEBPA</t>
  </si>
  <si>
    <t>103</t>
  </si>
  <si>
    <t>DNMT3A</t>
  </si>
  <si>
    <t>104</t>
  </si>
  <si>
    <t>EPCAM-DT</t>
  </si>
  <si>
    <t>105</t>
  </si>
  <si>
    <t>EPCAM</t>
  </si>
  <si>
    <t>106</t>
  </si>
  <si>
    <t>MSH2</t>
  </si>
  <si>
    <t>107</t>
  </si>
  <si>
    <t>MSH2-OT1</t>
  </si>
  <si>
    <t>108</t>
  </si>
  <si>
    <t>MSH6</t>
  </si>
  <si>
    <t>109</t>
  </si>
  <si>
    <t>CXCR4</t>
  </si>
  <si>
    <t>110</t>
  </si>
  <si>
    <t>SF3B1</t>
  </si>
  <si>
    <t>111</t>
  </si>
  <si>
    <t>IDH1</t>
  </si>
  <si>
    <t>112</t>
  </si>
  <si>
    <t>IDH1-AS1</t>
  </si>
  <si>
    <t>113</t>
  </si>
  <si>
    <t>ASXL1</t>
  </si>
  <si>
    <t>114</t>
  </si>
  <si>
    <t>RUNX1</t>
  </si>
  <si>
    <t>chr21</t>
  </si>
  <si>
    <t>115</t>
  </si>
  <si>
    <t>U2AF1</t>
  </si>
  <si>
    <t>116</t>
  </si>
  <si>
    <t>LZTR1</t>
  </si>
  <si>
    <t>117</t>
  </si>
  <si>
    <t>SMARCB1</t>
  </si>
  <si>
    <t>118</t>
  </si>
  <si>
    <t>CHEK2</t>
  </si>
  <si>
    <t>119</t>
  </si>
  <si>
    <t>NF2</t>
  </si>
  <si>
    <t>120</t>
  </si>
  <si>
    <t>MLH1</t>
  </si>
  <si>
    <t>121</t>
  </si>
  <si>
    <t>MYD88</t>
  </si>
  <si>
    <t>122</t>
  </si>
  <si>
    <t>CTNNB1</t>
  </si>
  <si>
    <t>123</t>
  </si>
  <si>
    <t>PDGFRA</t>
  </si>
  <si>
    <t>124</t>
  </si>
  <si>
    <t>KIT</t>
  </si>
  <si>
    <t>125</t>
  </si>
  <si>
    <t>KDR</t>
  </si>
  <si>
    <t>126</t>
  </si>
  <si>
    <t>TET2</t>
  </si>
  <si>
    <t>127</t>
  </si>
  <si>
    <t>TET2-AS1</t>
  </si>
  <si>
    <t>128</t>
  </si>
  <si>
    <t>TERT</t>
  </si>
  <si>
    <t>129</t>
  </si>
  <si>
    <t>APC</t>
  </si>
  <si>
    <t>130</t>
  </si>
  <si>
    <t>PDGFRB</t>
  </si>
  <si>
    <t>131</t>
  </si>
  <si>
    <t>NPM1</t>
  </si>
  <si>
    <t>132</t>
  </si>
  <si>
    <t>DDX41</t>
  </si>
  <si>
    <t>133</t>
  </si>
  <si>
    <t>ROS1</t>
  </si>
  <si>
    <t>134</t>
  </si>
  <si>
    <t>CARD11</t>
  </si>
  <si>
    <t>135</t>
  </si>
  <si>
    <t>CARD11-AS1</t>
  </si>
  <si>
    <t>136</t>
  </si>
  <si>
    <t>PMS2</t>
  </si>
  <si>
    <t>137</t>
  </si>
  <si>
    <t>EGFR</t>
  </si>
  <si>
    <t>138</t>
  </si>
  <si>
    <t>EGFR-AS1</t>
  </si>
  <si>
    <t>139</t>
  </si>
  <si>
    <t>MET</t>
  </si>
  <si>
    <t>140</t>
  </si>
  <si>
    <t>SMO</t>
  </si>
  <si>
    <t>141</t>
  </si>
  <si>
    <t>BRAF</t>
  </si>
  <si>
    <t>142</t>
  </si>
  <si>
    <t>EZH2</t>
  </si>
  <si>
    <t>143</t>
  </si>
  <si>
    <t>JAK2</t>
  </si>
  <si>
    <t>144</t>
  </si>
  <si>
    <t>PTPRD</t>
  </si>
  <si>
    <t>145</t>
  </si>
  <si>
    <t>PTPRD-AS1</t>
  </si>
  <si>
    <t>146</t>
  </si>
  <si>
    <t>PTPRD-AS2</t>
  </si>
  <si>
    <t>147</t>
  </si>
  <si>
    <t>CDKN2A-DT</t>
  </si>
  <si>
    <t>148</t>
  </si>
  <si>
    <t>CDKN2A</t>
  </si>
  <si>
    <t>149</t>
  </si>
  <si>
    <t>NOTCH1</t>
  </si>
  <si>
    <t>150</t>
  </si>
  <si>
    <t>BTK</t>
  </si>
  <si>
    <t>151</t>
  </si>
  <si>
    <t>ZRSR2</t>
  </si>
  <si>
    <t>152</t>
  </si>
  <si>
    <t>BCOR</t>
  </si>
  <si>
    <t>153</t>
  </si>
  <si>
    <t>STAG2</t>
  </si>
  <si>
    <t>154</t>
  </si>
  <si>
    <t>CHEK1</t>
  </si>
  <si>
    <t>HRD</t>
  </si>
  <si>
    <t>https://pmc.ncbi.nlm.nih.gov/articles/PMC11846297/</t>
  </si>
  <si>
    <t>155</t>
  </si>
  <si>
    <t>CDK12</t>
  </si>
  <si>
    <t>156</t>
  </si>
  <si>
    <t>FANCL</t>
  </si>
  <si>
    <t>157</t>
  </si>
  <si>
    <t>PPP2R2A</t>
  </si>
  <si>
    <t>158</t>
  </si>
  <si>
    <t>RAD51B</t>
  </si>
  <si>
    <t>159</t>
  </si>
  <si>
    <t>RAD54L</t>
  </si>
  <si>
    <t>160</t>
  </si>
  <si>
    <t>ALK</t>
  </si>
  <si>
    <t>161</t>
  </si>
  <si>
    <t>FANCA</t>
  </si>
  <si>
    <t>162</t>
  </si>
  <si>
    <t>HDAC2</t>
  </si>
  <si>
    <t>163</t>
  </si>
  <si>
    <t>MRE11</t>
  </si>
  <si>
    <t>164</t>
  </si>
  <si>
    <t>NBN</t>
  </si>
  <si>
    <t>165</t>
  </si>
  <si>
    <t>BLM</t>
  </si>
  <si>
    <t>HR+</t>
  </si>
  <si>
    <t>composite</t>
  </si>
  <si>
    <t>HR+;HR+/HER2-;HR+/HER2-, Ki-67-high;HR+/HER2-, low immune activity;HR+, PIK3CA-mut;HR+, Trop-2-mut</t>
  </si>
  <si>
    <t>ESR1/ESR2/PGR</t>
  </si>
  <si>
    <t>HER2-low</t>
  </si>
  <si>
    <t>HER2-;HER2+;HR+/HER2-;Her2-low;HR+/HER2-, Ki-67-high;HR+/HER2-, low immune activity;HER2-low and HER2-ultralow, TNBC</t>
  </si>
  <si>
    <t>HER2-ultralow</t>
  </si>
  <si>
    <t>HER2-;HER2+;HR+/HER2-;HER2-ultralow;HR+/HER2-, Ki-67-high;HR+/HER2-, low immune activity;HER2-low and HER2-ultralow, TNBC</t>
  </si>
  <si>
    <t>TNBC</t>
  </si>
  <si>
    <t>TNBC;TNBC + BRCA1/2 mut;PDL1+, TNBC;HER2-low and HER2-ultralow, TNBC;TNBC basal-like immune suppressed;TNBC basal-like immune activated;TNBC mesenchymal;TNBC luminal androgen receptor</t>
  </si>
  <si>
    <t>ESR1/ESR2/PGR/ERBB2</t>
  </si>
  <si>
    <t>401</t>
  </si>
  <si>
    <t>LMR</t>
  </si>
  <si>
    <t>immune_ratio</t>
  </si>
  <si>
    <t>Wan, L., Wu, C., Luo, S. &amp; Xie, X. Prognostic Value of Lymphocyte-to-Monocyte Ratio (LMR) in Cancer Patients Undergoing Immune Checkpoint Inhibitors. Dis Markers 2022, 3610038 (2022).</t>
  </si>
  <si>
    <t>402</t>
  </si>
  <si>
    <t>NLR</t>
  </si>
  <si>
    <t>403</t>
  </si>
  <si>
    <t>monocyte_inf</t>
  </si>
  <si>
    <t>immune_inf</t>
  </si>
  <si>
    <t>405</t>
  </si>
  <si>
    <t>Bcell_inf</t>
  </si>
  <si>
    <t>406</t>
  </si>
  <si>
    <t>CD4_inf</t>
  </si>
  <si>
    <t>407</t>
  </si>
  <si>
    <t>NK_inf</t>
  </si>
  <si>
    <t>408</t>
  </si>
  <si>
    <t>CD8_inf</t>
  </si>
  <si>
    <t>409</t>
  </si>
  <si>
    <t>Treg_inf</t>
  </si>
  <si>
    <t>410</t>
  </si>
  <si>
    <t>Neutrophil_inf</t>
  </si>
  <si>
    <t>411</t>
  </si>
  <si>
    <t>Endothelial_inf</t>
  </si>
  <si>
    <t>412</t>
  </si>
  <si>
    <t>Eosinophil_inf</t>
  </si>
  <si>
    <t>413</t>
  </si>
  <si>
    <t>Fibroblast_inf</t>
  </si>
  <si>
    <t>414</t>
  </si>
  <si>
    <t>Cancer_inf</t>
  </si>
  <si>
    <t>501</t>
  </si>
  <si>
    <t>age</t>
  </si>
  <si>
    <t>demographic</t>
  </si>
  <si>
    <t>0.0-150.0</t>
  </si>
  <si>
    <t>502</t>
  </si>
  <si>
    <t>sex</t>
  </si>
  <si>
    <t>M/F/O</t>
  </si>
  <si>
    <t>503</t>
  </si>
  <si>
    <t>ethnicity</t>
  </si>
  <si>
    <t>504</t>
  </si>
  <si>
    <t>grade</t>
  </si>
  <si>
    <t>clinicopathology</t>
  </si>
  <si>
    <t>Molecular Group</t>
  </si>
  <si>
    <t>Combined Marker Components</t>
  </si>
  <si>
    <t>Fusion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</si>
</sst>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49" fontId="0" fillId="0" borderId="0" xfId="0" quotePrefix="1" applyNumberFormat="1"/>
    <xf numFmtId="0" fontId="0" fillId="0" borderId="0" xfId="0" applyAlignment="1">
      <alignment horizontal="fill"/>
    </xf>
    <xf numFmtId="3" fontId="0" fillId="0" borderId="0" xfId="0" applyNumberFormat="1"/>
    <xf numFmtId="0" fontId="0" fillId="0" borderId="0" xfId="0" applyAlignment="1">
      <alignment vertical="center"/>
    </xf>
    <xf numFmtId="0" fontId="0" fillId="0" borderId="0" xfId="0" quotePrefix="1"/>
    <xf numFmtId="0" fontId="2" fillId="0" borderId="0" xfId="0" applyFont="1"/>
    <xf numFmtId="3" fontId="2" fillId="0" borderId="0" xfId="0" applyNumberFormat="1" applyFont="1"/>
    <xf numFmtId="0" fontId="1" fillId="0" borderId="0" xfId="1" applyAlignment="1">
      <alignment horizontal="fill"/>
    </xf>
    <xf numFmtId="0" fontId="3" fillId="0" borderId="0" xfId="0" applyFont="1" applyAlignment="1">
      <alignment vertical="center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mc.ncbi.nlm.nih.gov/articles/PMC11846297/" TargetMode="External"/><Relationship Id="rId1" Type="http://schemas.openxmlformats.org/officeDocument/2006/relationships/hyperlink" Target="https://pmc.ncbi.nlm.nih.gov/articles/PMC1184629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3967-0254-4AE6-A4AA-ACD2C93DCF4D}">
  <dimension ref="A1:X188"/>
  <sheetViews>
    <sheetView tabSelected="1" zoomScale="70" zoomScaleNormal="70" workbookViewId="0">
      <selection activeCell="M2" sqref="M2"/>
    </sheetView>
  </sheetViews>
  <sheetFormatPr defaultColWidth="11.5703125" defaultRowHeight="15"/>
  <cols>
    <col min="1" max="1" width="11.5703125" style="10"/>
    <col min="2" max="2" width="13.7109375" customWidth="1"/>
    <col min="3" max="3" width="33" customWidth="1"/>
    <col min="4" max="4" width="11.5703125" customWidth="1"/>
    <col min="5" max="5" width="46.7109375" customWidth="1"/>
    <col min="6" max="10" width="11.5703125" customWidth="1"/>
    <col min="11" max="11" width="15" customWidth="1"/>
    <col min="12" max="12" width="11.28515625" customWidth="1"/>
    <col min="13" max="13" width="12.5703125" customWidth="1"/>
    <col min="14" max="15" width="11.5703125" customWidth="1"/>
    <col min="16" max="16" width="14.7109375" customWidth="1"/>
    <col min="17" max="17" width="11.5703125" customWidth="1"/>
    <col min="18" max="18" width="14.7109375" customWidth="1"/>
    <col min="20" max="20" width="13.140625" bestFit="1" customWidth="1"/>
    <col min="21" max="21" width="13.5703125" bestFit="1" customWidth="1"/>
  </cols>
  <sheetData>
    <row r="1" spans="1:24" s="12" customFormat="1" ht="93.6" customHeigh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483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484</v>
      </c>
      <c r="M1" s="12" t="s">
        <v>485</v>
      </c>
      <c r="N1" s="12" t="s">
        <v>10</v>
      </c>
      <c r="O1" s="12" t="s">
        <v>11</v>
      </c>
      <c r="P1" s="12" t="s">
        <v>12</v>
      </c>
      <c r="Q1" s="12" t="s">
        <v>13</v>
      </c>
      <c r="R1" s="12" t="s">
        <v>14</v>
      </c>
      <c r="S1" s="12" t="s">
        <v>15</v>
      </c>
      <c r="T1" s="12" t="s">
        <v>16</v>
      </c>
      <c r="U1" s="12" t="s">
        <v>17</v>
      </c>
      <c r="V1" s="12" t="s">
        <v>18</v>
      </c>
      <c r="W1" s="12" t="s">
        <v>19</v>
      </c>
      <c r="X1" s="12" t="s">
        <v>20</v>
      </c>
    </row>
    <row r="2" spans="1:24">
      <c r="A2" s="1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I2" t="s">
        <v>28</v>
      </c>
      <c r="O2" t="s">
        <v>29</v>
      </c>
      <c r="P2" t="s">
        <v>30</v>
      </c>
      <c r="R2" s="2" t="s">
        <v>31</v>
      </c>
      <c r="S2" t="s">
        <v>32</v>
      </c>
      <c r="T2" s="3">
        <v>151690496</v>
      </c>
      <c r="U2" s="3">
        <v>152103274</v>
      </c>
      <c r="V2" s="3">
        <f t="shared" ref="V2:V62" si="0">U2-(T2-1)</f>
        <v>412779</v>
      </c>
      <c r="W2" t="s">
        <v>33</v>
      </c>
    </row>
    <row r="3" spans="1:24">
      <c r="A3" s="1" t="s">
        <v>34</v>
      </c>
      <c r="B3" t="s">
        <v>35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I3" t="s">
        <v>28</v>
      </c>
      <c r="O3" t="s">
        <v>29</v>
      </c>
      <c r="P3" t="s">
        <v>30</v>
      </c>
      <c r="R3" s="2" t="s">
        <v>36</v>
      </c>
      <c r="S3" t="s">
        <v>37</v>
      </c>
      <c r="T3" s="3">
        <v>64228317</v>
      </c>
      <c r="U3" s="3">
        <v>64294371</v>
      </c>
      <c r="V3" s="3">
        <f t="shared" si="0"/>
        <v>66055</v>
      </c>
      <c r="W3" t="s">
        <v>38</v>
      </c>
    </row>
    <row r="4" spans="1:24">
      <c r="A4" s="1" t="s">
        <v>39</v>
      </c>
      <c r="B4" t="s">
        <v>40</v>
      </c>
      <c r="C4" t="s">
        <v>23</v>
      </c>
      <c r="D4" t="s">
        <v>24</v>
      </c>
      <c r="E4" t="s">
        <v>41</v>
      </c>
      <c r="F4" t="s">
        <v>26</v>
      </c>
      <c r="G4" t="s">
        <v>27</v>
      </c>
      <c r="I4" t="s">
        <v>28</v>
      </c>
      <c r="O4" t="s">
        <v>29</v>
      </c>
      <c r="R4" s="2" t="s">
        <v>36</v>
      </c>
      <c r="S4" t="s">
        <v>42</v>
      </c>
      <c r="T4" s="3">
        <v>101029624</v>
      </c>
      <c r="U4" s="3">
        <v>101129813</v>
      </c>
      <c r="V4" s="3">
        <f t="shared" si="0"/>
        <v>100190</v>
      </c>
      <c r="W4" t="s">
        <v>38</v>
      </c>
    </row>
    <row r="5" spans="1:24">
      <c r="A5" s="1" t="s">
        <v>43</v>
      </c>
      <c r="B5" t="s">
        <v>44</v>
      </c>
      <c r="C5" t="s">
        <v>23</v>
      </c>
      <c r="D5" t="s">
        <v>24</v>
      </c>
      <c r="E5" t="s">
        <v>45</v>
      </c>
      <c r="F5" t="s">
        <v>26</v>
      </c>
      <c r="G5" t="s">
        <v>27</v>
      </c>
      <c r="I5" t="s">
        <v>28</v>
      </c>
      <c r="O5" t="s">
        <v>29</v>
      </c>
      <c r="R5" s="2" t="s">
        <v>36</v>
      </c>
      <c r="S5" t="s">
        <v>46</v>
      </c>
      <c r="T5" s="3">
        <v>39700064</v>
      </c>
      <c r="U5" s="3">
        <v>39728658</v>
      </c>
      <c r="V5" s="3">
        <f t="shared" si="0"/>
        <v>28595</v>
      </c>
      <c r="W5" t="s">
        <v>33</v>
      </c>
    </row>
    <row r="6" spans="1:24">
      <c r="A6" s="1" t="s">
        <v>47</v>
      </c>
      <c r="B6" t="s">
        <v>48</v>
      </c>
      <c r="C6" t="s">
        <v>49</v>
      </c>
      <c r="D6" t="s">
        <v>24</v>
      </c>
      <c r="E6" t="s">
        <v>50</v>
      </c>
      <c r="F6" t="s">
        <v>26</v>
      </c>
      <c r="G6" t="s">
        <v>27</v>
      </c>
      <c r="O6" t="s">
        <v>29</v>
      </c>
      <c r="R6" s="2" t="s">
        <v>36</v>
      </c>
      <c r="S6" t="s">
        <v>46</v>
      </c>
      <c r="T6" s="3">
        <v>43044295</v>
      </c>
      <c r="U6" s="3">
        <v>43125483</v>
      </c>
      <c r="V6" s="3">
        <f t="shared" si="0"/>
        <v>81189</v>
      </c>
      <c r="W6" t="s">
        <v>38</v>
      </c>
    </row>
    <row r="7" spans="1:24">
      <c r="A7" s="1" t="s">
        <v>51</v>
      </c>
      <c r="B7" t="s">
        <v>52</v>
      </c>
      <c r="C7" t="s">
        <v>49</v>
      </c>
      <c r="D7" t="s">
        <v>24</v>
      </c>
      <c r="E7" t="s">
        <v>50</v>
      </c>
      <c r="F7" t="s">
        <v>26</v>
      </c>
      <c r="G7" t="s">
        <v>27</v>
      </c>
      <c r="O7" t="s">
        <v>29</v>
      </c>
      <c r="R7" s="2" t="s">
        <v>36</v>
      </c>
      <c r="S7" t="s">
        <v>53</v>
      </c>
      <c r="T7" s="3">
        <v>32315508</v>
      </c>
      <c r="U7" s="3">
        <v>32400268</v>
      </c>
      <c r="V7" s="3">
        <f t="shared" si="0"/>
        <v>84761</v>
      </c>
      <c r="W7" t="s">
        <v>33</v>
      </c>
    </row>
    <row r="8" spans="1:24">
      <c r="A8" s="1" t="s">
        <v>54</v>
      </c>
      <c r="B8" s="4" t="s">
        <v>55</v>
      </c>
      <c r="C8" s="4" t="s">
        <v>49</v>
      </c>
      <c r="D8" s="4" t="s">
        <v>24</v>
      </c>
      <c r="F8" t="s">
        <v>26</v>
      </c>
      <c r="O8" t="s">
        <v>29</v>
      </c>
      <c r="R8" s="2"/>
      <c r="S8" t="s">
        <v>56</v>
      </c>
      <c r="T8" s="3">
        <v>214725646</v>
      </c>
      <c r="U8" s="3">
        <v>214809683</v>
      </c>
      <c r="V8" s="3">
        <f t="shared" si="0"/>
        <v>84038</v>
      </c>
      <c r="W8" t="s">
        <v>38</v>
      </c>
    </row>
    <row r="9" spans="1:24">
      <c r="A9" s="1" t="s">
        <v>57</v>
      </c>
      <c r="B9" s="4" t="s">
        <v>58</v>
      </c>
      <c r="C9" s="4" t="s">
        <v>49</v>
      </c>
      <c r="D9" s="4" t="s">
        <v>24</v>
      </c>
      <c r="F9" t="s">
        <v>26</v>
      </c>
      <c r="O9" t="s">
        <v>29</v>
      </c>
      <c r="R9" s="2"/>
      <c r="S9" t="s">
        <v>59</v>
      </c>
      <c r="T9" s="3">
        <v>23603165</v>
      </c>
      <c r="U9" s="3">
        <v>23641310</v>
      </c>
      <c r="V9" s="3">
        <f t="shared" si="0"/>
        <v>38146</v>
      </c>
      <c r="W9" t="s">
        <v>38</v>
      </c>
    </row>
    <row r="10" spans="1:24">
      <c r="A10" s="1" t="s">
        <v>60</v>
      </c>
      <c r="B10" s="4" t="s">
        <v>61</v>
      </c>
      <c r="C10" s="4" t="s">
        <v>49</v>
      </c>
      <c r="D10" s="4" t="s">
        <v>24</v>
      </c>
      <c r="F10" t="s">
        <v>26</v>
      </c>
      <c r="O10" t="s">
        <v>29</v>
      </c>
      <c r="R10" s="2"/>
      <c r="S10" t="s">
        <v>37</v>
      </c>
      <c r="T10" s="3">
        <v>104769349</v>
      </c>
      <c r="U10" s="3">
        <v>104795748</v>
      </c>
      <c r="V10" s="3">
        <f t="shared" si="0"/>
        <v>26400</v>
      </c>
      <c r="W10" t="s">
        <v>38</v>
      </c>
    </row>
    <row r="11" spans="1:24">
      <c r="A11" s="1" t="s">
        <v>62</v>
      </c>
      <c r="B11" s="4" t="s">
        <v>63</v>
      </c>
      <c r="C11" s="4" t="s">
        <v>49</v>
      </c>
      <c r="D11" s="4" t="s">
        <v>24</v>
      </c>
      <c r="F11" t="s">
        <v>26</v>
      </c>
      <c r="O11" t="s">
        <v>29</v>
      </c>
      <c r="R11" s="2"/>
      <c r="S11" t="s">
        <v>64</v>
      </c>
      <c r="T11" s="3">
        <v>156860865</v>
      </c>
      <c r="U11" s="3">
        <v>156881850</v>
      </c>
      <c r="V11" s="3">
        <f t="shared" si="0"/>
        <v>20986</v>
      </c>
      <c r="W11" t="s">
        <v>33</v>
      </c>
    </row>
    <row r="12" spans="1:24">
      <c r="A12" s="1" t="s">
        <v>65</v>
      </c>
      <c r="B12" s="4" t="s">
        <v>66</v>
      </c>
      <c r="C12" s="4" t="s">
        <v>49</v>
      </c>
      <c r="D12" s="4" t="s">
        <v>24</v>
      </c>
      <c r="F12" t="s">
        <v>26</v>
      </c>
      <c r="O12" t="s">
        <v>29</v>
      </c>
      <c r="R12" s="2"/>
      <c r="S12" t="s">
        <v>67</v>
      </c>
      <c r="T12" s="3">
        <v>84669729</v>
      </c>
      <c r="U12" s="3">
        <v>85027054</v>
      </c>
      <c r="V12" s="3">
        <f t="shared" si="0"/>
        <v>357326</v>
      </c>
      <c r="W12" t="s">
        <v>33</v>
      </c>
    </row>
    <row r="13" spans="1:24">
      <c r="A13" s="1" t="s">
        <v>68</v>
      </c>
      <c r="B13" s="4" t="s">
        <v>69</v>
      </c>
      <c r="C13" s="4" t="s">
        <v>49</v>
      </c>
      <c r="D13" s="4" t="s">
        <v>24</v>
      </c>
      <c r="F13" t="s">
        <v>26</v>
      </c>
      <c r="O13" t="s">
        <v>29</v>
      </c>
      <c r="R13" s="2"/>
      <c r="S13" t="s">
        <v>70</v>
      </c>
      <c r="T13" s="3">
        <v>87859751</v>
      </c>
      <c r="U13" s="3">
        <v>88256739</v>
      </c>
      <c r="V13" s="3">
        <f t="shared" si="0"/>
        <v>396989</v>
      </c>
      <c r="W13" t="s">
        <v>38</v>
      </c>
    </row>
    <row r="14" spans="1:24">
      <c r="A14" s="1" t="s">
        <v>71</v>
      </c>
      <c r="B14" s="4" t="s">
        <v>72</v>
      </c>
      <c r="C14" s="4" t="s">
        <v>49</v>
      </c>
      <c r="D14" s="4" t="s">
        <v>24</v>
      </c>
      <c r="F14" t="s">
        <v>26</v>
      </c>
      <c r="O14" t="s">
        <v>29</v>
      </c>
      <c r="R14" s="2"/>
      <c r="S14" t="s">
        <v>73</v>
      </c>
      <c r="T14" s="3">
        <v>43077069</v>
      </c>
      <c r="U14" s="3">
        <v>43130351</v>
      </c>
      <c r="V14" s="3">
        <f t="shared" si="0"/>
        <v>53283</v>
      </c>
      <c r="W14" t="s">
        <v>33</v>
      </c>
    </row>
    <row r="15" spans="1:24">
      <c r="A15" s="1" t="s">
        <v>74</v>
      </c>
      <c r="B15" s="4" t="s">
        <v>75</v>
      </c>
      <c r="C15" s="4" t="s">
        <v>49</v>
      </c>
      <c r="D15" s="4" t="s">
        <v>24</v>
      </c>
      <c r="F15" t="s">
        <v>26</v>
      </c>
      <c r="O15" t="s">
        <v>29</v>
      </c>
      <c r="R15" s="2"/>
      <c r="S15" t="s">
        <v>76</v>
      </c>
      <c r="T15" s="3">
        <v>38411143</v>
      </c>
      <c r="U15" s="3">
        <v>38468635</v>
      </c>
      <c r="V15" s="3">
        <f t="shared" si="0"/>
        <v>57493</v>
      </c>
      <c r="W15" t="s">
        <v>38</v>
      </c>
    </row>
    <row r="16" spans="1:24">
      <c r="A16" s="1" t="s">
        <v>77</v>
      </c>
      <c r="B16" s="4" t="s">
        <v>78</v>
      </c>
      <c r="C16" s="4" t="s">
        <v>49</v>
      </c>
      <c r="D16" s="4" t="s">
        <v>24</v>
      </c>
      <c r="F16" t="s">
        <v>26</v>
      </c>
      <c r="O16" t="s">
        <v>29</v>
      </c>
      <c r="R16" s="2"/>
      <c r="S16" t="s">
        <v>73</v>
      </c>
      <c r="T16" s="3">
        <v>121478332</v>
      </c>
      <c r="U16" s="3">
        <v>121598444</v>
      </c>
      <c r="V16" s="3">
        <f t="shared" si="0"/>
        <v>120113</v>
      </c>
      <c r="W16" t="s">
        <v>38</v>
      </c>
    </row>
    <row r="17" spans="1:23">
      <c r="A17" s="1" t="s">
        <v>79</v>
      </c>
      <c r="B17" s="4" t="s">
        <v>80</v>
      </c>
      <c r="C17" s="4" t="s">
        <v>49</v>
      </c>
      <c r="D17" s="4" t="s">
        <v>24</v>
      </c>
      <c r="F17" t="s">
        <v>26</v>
      </c>
      <c r="O17" t="s">
        <v>29</v>
      </c>
      <c r="R17" s="2"/>
      <c r="S17" t="s">
        <v>81</v>
      </c>
      <c r="T17" s="3">
        <v>1793293</v>
      </c>
      <c r="U17" s="3">
        <v>1808867</v>
      </c>
      <c r="V17" s="3">
        <f t="shared" si="0"/>
        <v>15575</v>
      </c>
      <c r="W17" t="s">
        <v>33</v>
      </c>
    </row>
    <row r="18" spans="1:23">
      <c r="A18" s="1" t="s">
        <v>82</v>
      </c>
      <c r="B18" s="4" t="s">
        <v>83</v>
      </c>
      <c r="C18" s="4" t="s">
        <v>49</v>
      </c>
      <c r="D18" s="4" t="s">
        <v>24</v>
      </c>
      <c r="F18" t="s">
        <v>26</v>
      </c>
      <c r="O18" t="s">
        <v>29</v>
      </c>
      <c r="R18" s="2"/>
      <c r="S18" t="s">
        <v>84</v>
      </c>
      <c r="T18" s="3">
        <v>177086915</v>
      </c>
      <c r="U18" s="3">
        <v>177098144</v>
      </c>
      <c r="V18" s="3">
        <f t="shared" si="0"/>
        <v>11230</v>
      </c>
      <c r="W18" t="s">
        <v>33</v>
      </c>
    </row>
    <row r="19" spans="1:23">
      <c r="A19" s="1" t="s">
        <v>85</v>
      </c>
      <c r="B19" s="4" t="s">
        <v>86</v>
      </c>
      <c r="C19" s="4" t="s">
        <v>49</v>
      </c>
      <c r="D19" s="4" t="s">
        <v>24</v>
      </c>
      <c r="F19" t="s">
        <v>26</v>
      </c>
      <c r="O19" t="s">
        <v>29</v>
      </c>
      <c r="R19" s="2"/>
      <c r="S19" t="s">
        <v>87</v>
      </c>
      <c r="T19" s="3">
        <v>26938470</v>
      </c>
      <c r="U19" s="3">
        <v>26966648</v>
      </c>
      <c r="V19" s="3">
        <f t="shared" si="0"/>
        <v>28179</v>
      </c>
      <c r="W19" t="s">
        <v>33</v>
      </c>
    </row>
    <row r="20" spans="1:23">
      <c r="A20" s="1" t="s">
        <v>88</v>
      </c>
      <c r="B20" s="4" t="s">
        <v>89</v>
      </c>
      <c r="C20" s="4" t="s">
        <v>49</v>
      </c>
      <c r="D20" s="4" t="s">
        <v>24</v>
      </c>
      <c r="F20" t="s">
        <v>26</v>
      </c>
      <c r="O20" t="s">
        <v>29</v>
      </c>
      <c r="R20" s="2"/>
      <c r="S20" t="s">
        <v>81</v>
      </c>
      <c r="T20" s="3">
        <v>1011626</v>
      </c>
      <c r="U20" s="3">
        <v>1026898</v>
      </c>
      <c r="V20" s="3">
        <f t="shared" si="0"/>
        <v>15273</v>
      </c>
      <c r="W20" t="s">
        <v>33</v>
      </c>
    </row>
    <row r="21" spans="1:23">
      <c r="A21" s="1" t="s">
        <v>90</v>
      </c>
      <c r="B21" t="s">
        <v>91</v>
      </c>
      <c r="C21" t="s">
        <v>23</v>
      </c>
      <c r="D21" t="s">
        <v>24</v>
      </c>
      <c r="E21" t="s">
        <v>92</v>
      </c>
      <c r="F21" t="s">
        <v>26</v>
      </c>
      <c r="G21" t="s">
        <v>27</v>
      </c>
      <c r="I21" t="s">
        <v>28</v>
      </c>
      <c r="O21" t="s">
        <v>29</v>
      </c>
      <c r="R21" s="2" t="s">
        <v>36</v>
      </c>
      <c r="S21" t="s">
        <v>93</v>
      </c>
      <c r="T21" s="3">
        <v>67544021</v>
      </c>
      <c r="U21" s="3">
        <v>67730619</v>
      </c>
      <c r="V21" s="3">
        <f t="shared" si="0"/>
        <v>186599</v>
      </c>
      <c r="W21" t="s">
        <v>33</v>
      </c>
    </row>
    <row r="22" spans="1:23">
      <c r="A22" s="1" t="s">
        <v>94</v>
      </c>
      <c r="B22" t="s">
        <v>95</v>
      </c>
      <c r="C22" t="s">
        <v>23</v>
      </c>
      <c r="D22" t="s">
        <v>24</v>
      </c>
      <c r="E22" t="s">
        <v>96</v>
      </c>
      <c r="F22" t="s">
        <v>26</v>
      </c>
      <c r="G22" t="s">
        <v>27</v>
      </c>
      <c r="I22" t="s">
        <v>28</v>
      </c>
      <c r="O22" t="s">
        <v>29</v>
      </c>
      <c r="R22" s="2" t="s">
        <v>36</v>
      </c>
      <c r="S22" t="s">
        <v>42</v>
      </c>
      <c r="T22" s="3">
        <v>69641156</v>
      </c>
      <c r="U22" s="3">
        <v>69654474</v>
      </c>
      <c r="V22" s="3">
        <f t="shared" si="0"/>
        <v>13319</v>
      </c>
      <c r="W22" t="s">
        <v>33</v>
      </c>
    </row>
    <row r="23" spans="1:23">
      <c r="A23" s="1" t="s">
        <v>97</v>
      </c>
      <c r="B23" t="s">
        <v>98</v>
      </c>
      <c r="C23" t="s">
        <v>23</v>
      </c>
      <c r="D23" t="s">
        <v>24</v>
      </c>
      <c r="E23" t="s">
        <v>99</v>
      </c>
      <c r="F23" t="s">
        <v>26</v>
      </c>
      <c r="G23" t="s">
        <v>27</v>
      </c>
      <c r="I23" t="s">
        <v>28</v>
      </c>
      <c r="O23" t="s">
        <v>29</v>
      </c>
      <c r="P23" t="s">
        <v>100</v>
      </c>
      <c r="R23" s="2" t="s">
        <v>36</v>
      </c>
      <c r="S23" t="s">
        <v>73</v>
      </c>
      <c r="T23" s="3">
        <v>128096659</v>
      </c>
      <c r="U23" s="3">
        <v>128126423</v>
      </c>
      <c r="V23" s="3">
        <f t="shared" si="0"/>
        <v>29765</v>
      </c>
      <c r="W23" t="s">
        <v>38</v>
      </c>
    </row>
    <row r="24" spans="1:23">
      <c r="A24" s="1" t="s">
        <v>101</v>
      </c>
      <c r="B24" t="s">
        <v>22</v>
      </c>
      <c r="C24" t="s">
        <v>49</v>
      </c>
      <c r="D24" t="s">
        <v>24</v>
      </c>
      <c r="E24" t="s">
        <v>102</v>
      </c>
      <c r="F24" t="s">
        <v>26</v>
      </c>
      <c r="G24" t="s">
        <v>27</v>
      </c>
      <c r="O24" t="s">
        <v>29</v>
      </c>
      <c r="R24" s="2" t="s">
        <v>36</v>
      </c>
      <c r="S24" t="s">
        <v>32</v>
      </c>
      <c r="T24" s="3">
        <v>151690496</v>
      </c>
      <c r="U24" s="3">
        <v>152103274</v>
      </c>
      <c r="V24" s="3">
        <f t="shared" si="0"/>
        <v>412779</v>
      </c>
      <c r="W24" t="s">
        <v>33</v>
      </c>
    </row>
    <row r="25" spans="1:23">
      <c r="A25" s="1" t="s">
        <v>103</v>
      </c>
      <c r="B25" t="s">
        <v>104</v>
      </c>
      <c r="C25" t="s">
        <v>49</v>
      </c>
      <c r="D25" t="s">
        <v>24</v>
      </c>
      <c r="E25" t="s">
        <v>105</v>
      </c>
      <c r="F25" t="s">
        <v>26</v>
      </c>
      <c r="G25" t="s">
        <v>27</v>
      </c>
      <c r="O25" t="s">
        <v>29</v>
      </c>
      <c r="R25" s="2" t="s">
        <v>36</v>
      </c>
      <c r="S25" t="s">
        <v>106</v>
      </c>
      <c r="T25" s="3">
        <v>179148357</v>
      </c>
      <c r="U25" s="3">
        <v>179240093</v>
      </c>
      <c r="V25" s="3">
        <f t="shared" si="0"/>
        <v>91737</v>
      </c>
      <c r="W25" t="s">
        <v>33</v>
      </c>
    </row>
    <row r="26" spans="1:23">
      <c r="A26" s="1" t="s">
        <v>107</v>
      </c>
      <c r="B26" t="s">
        <v>108</v>
      </c>
      <c r="C26" t="s">
        <v>49</v>
      </c>
      <c r="D26" t="s">
        <v>24</v>
      </c>
      <c r="E26" t="s">
        <v>109</v>
      </c>
      <c r="F26" t="s">
        <v>26</v>
      </c>
      <c r="O26" t="s">
        <v>29</v>
      </c>
      <c r="R26" s="2"/>
      <c r="S26" t="s">
        <v>46</v>
      </c>
      <c r="T26" s="3">
        <v>7668421</v>
      </c>
      <c r="U26" s="3">
        <v>7687490</v>
      </c>
      <c r="V26" s="3">
        <f t="shared" si="0"/>
        <v>19070</v>
      </c>
      <c r="W26" t="s">
        <v>38</v>
      </c>
    </row>
    <row r="27" spans="1:23">
      <c r="A27" s="1" t="s">
        <v>110</v>
      </c>
      <c r="B27" t="s">
        <v>111</v>
      </c>
      <c r="C27" t="s">
        <v>23</v>
      </c>
      <c r="D27" t="s">
        <v>24</v>
      </c>
      <c r="E27" t="s">
        <v>112</v>
      </c>
      <c r="F27" t="s">
        <v>26</v>
      </c>
      <c r="G27" t="s">
        <v>27</v>
      </c>
      <c r="I27" t="s">
        <v>28</v>
      </c>
      <c r="O27" t="s">
        <v>29</v>
      </c>
      <c r="P27" t="s">
        <v>113</v>
      </c>
      <c r="R27" s="2" t="s">
        <v>36</v>
      </c>
      <c r="S27" t="s">
        <v>64</v>
      </c>
      <c r="T27" s="3">
        <v>58575433</v>
      </c>
      <c r="U27" s="3">
        <v>58577252</v>
      </c>
      <c r="V27" s="3">
        <f t="shared" si="0"/>
        <v>1820</v>
      </c>
      <c r="W27" t="s">
        <v>38</v>
      </c>
    </row>
    <row r="28" spans="1:23">
      <c r="A28" s="1" t="s">
        <v>114</v>
      </c>
      <c r="B28" t="s">
        <v>111</v>
      </c>
      <c r="C28" t="s">
        <v>49</v>
      </c>
      <c r="D28" t="s">
        <v>24</v>
      </c>
      <c r="E28" t="s">
        <v>115</v>
      </c>
      <c r="F28" t="s">
        <v>26</v>
      </c>
      <c r="G28" t="s">
        <v>27</v>
      </c>
      <c r="O28" t="s">
        <v>29</v>
      </c>
      <c r="P28" t="s">
        <v>116</v>
      </c>
      <c r="R28" s="2" t="s">
        <v>36</v>
      </c>
      <c r="S28" t="s">
        <v>64</v>
      </c>
      <c r="T28" s="3">
        <v>58575433</v>
      </c>
      <c r="U28" s="3">
        <v>58577252</v>
      </c>
      <c r="V28" s="3">
        <f t="shared" si="0"/>
        <v>1820</v>
      </c>
      <c r="W28" t="s">
        <v>38</v>
      </c>
    </row>
    <row r="29" spans="1:23">
      <c r="A29" s="1" t="s">
        <v>117</v>
      </c>
      <c r="B29" t="s">
        <v>118</v>
      </c>
      <c r="C29" t="s">
        <v>23</v>
      </c>
      <c r="D29" t="s">
        <v>24</v>
      </c>
      <c r="E29" t="s">
        <v>119</v>
      </c>
      <c r="F29" t="s">
        <v>26</v>
      </c>
      <c r="G29" t="s">
        <v>27</v>
      </c>
      <c r="I29" t="s">
        <v>28</v>
      </c>
      <c r="O29" t="s">
        <v>29</v>
      </c>
      <c r="P29" t="s">
        <v>120</v>
      </c>
      <c r="R29" s="2" t="s">
        <v>36</v>
      </c>
      <c r="S29" t="s">
        <v>67</v>
      </c>
      <c r="T29" s="3">
        <v>5450542</v>
      </c>
      <c r="U29" s="3">
        <v>5470554</v>
      </c>
      <c r="V29" s="3">
        <f t="shared" si="0"/>
        <v>20013</v>
      </c>
      <c r="W29" t="s">
        <v>33</v>
      </c>
    </row>
    <row r="30" spans="1:23">
      <c r="A30" s="1" t="s">
        <v>121</v>
      </c>
      <c r="B30" t="s">
        <v>122</v>
      </c>
      <c r="C30" t="s">
        <v>49</v>
      </c>
      <c r="D30" t="s">
        <v>24</v>
      </c>
      <c r="E30" t="s">
        <v>123</v>
      </c>
      <c r="F30" t="s">
        <v>26</v>
      </c>
      <c r="G30" t="s">
        <v>27</v>
      </c>
      <c r="O30" t="s">
        <v>29</v>
      </c>
      <c r="R30" s="2" t="s">
        <v>36</v>
      </c>
      <c r="S30" t="s">
        <v>73</v>
      </c>
      <c r="T30" s="3">
        <v>87863625</v>
      </c>
      <c r="U30" s="3">
        <v>87971930</v>
      </c>
      <c r="V30" s="3">
        <f t="shared" si="0"/>
        <v>108306</v>
      </c>
      <c r="W30" t="s">
        <v>33</v>
      </c>
    </row>
    <row r="31" spans="1:23">
      <c r="A31" s="1" t="s">
        <v>124</v>
      </c>
      <c r="B31" t="s">
        <v>111</v>
      </c>
      <c r="C31" t="s">
        <v>125</v>
      </c>
      <c r="D31" t="s">
        <v>24</v>
      </c>
      <c r="E31" t="s">
        <v>126</v>
      </c>
      <c r="F31" t="s">
        <v>26</v>
      </c>
      <c r="G31" t="s">
        <v>27</v>
      </c>
      <c r="I31" t="s">
        <v>127</v>
      </c>
      <c r="M31" t="s">
        <v>128</v>
      </c>
      <c r="O31" t="s">
        <v>129</v>
      </c>
      <c r="R31" s="2" t="s">
        <v>36</v>
      </c>
      <c r="S31" t="s">
        <v>64</v>
      </c>
      <c r="T31" s="3">
        <v>58575433</v>
      </c>
      <c r="U31" s="3">
        <v>58577252</v>
      </c>
      <c r="V31" s="3">
        <f t="shared" si="0"/>
        <v>1820</v>
      </c>
      <c r="W31" t="s">
        <v>38</v>
      </c>
    </row>
    <row r="32" spans="1:23">
      <c r="A32" s="1" t="s">
        <v>130</v>
      </c>
      <c r="B32" t="s">
        <v>131</v>
      </c>
      <c r="C32" t="s">
        <v>125</v>
      </c>
      <c r="D32" t="s">
        <v>24</v>
      </c>
      <c r="E32" t="s">
        <v>126</v>
      </c>
      <c r="F32" t="s">
        <v>26</v>
      </c>
      <c r="G32" t="s">
        <v>27</v>
      </c>
      <c r="I32" t="s">
        <v>127</v>
      </c>
      <c r="M32" t="s">
        <v>132</v>
      </c>
      <c r="O32" t="s">
        <v>129</v>
      </c>
      <c r="R32" s="2" t="s">
        <v>36</v>
      </c>
      <c r="S32" t="s">
        <v>42</v>
      </c>
      <c r="T32" s="3">
        <v>69641156</v>
      </c>
      <c r="U32" s="3">
        <v>69654474</v>
      </c>
      <c r="V32" s="3">
        <f t="shared" si="0"/>
        <v>13319</v>
      </c>
      <c r="W32" t="s">
        <v>33</v>
      </c>
    </row>
    <row r="33" spans="1:23">
      <c r="A33" s="1" t="s">
        <v>133</v>
      </c>
      <c r="B33" t="s">
        <v>134</v>
      </c>
      <c r="C33" t="s">
        <v>23</v>
      </c>
      <c r="D33" t="s">
        <v>24</v>
      </c>
      <c r="E33" t="s">
        <v>135</v>
      </c>
      <c r="F33" t="s">
        <v>26</v>
      </c>
      <c r="G33" t="s">
        <v>27</v>
      </c>
      <c r="I33" t="s">
        <v>28</v>
      </c>
      <c r="O33" t="s">
        <v>29</v>
      </c>
      <c r="R33" s="2"/>
      <c r="S33" t="s">
        <v>56</v>
      </c>
      <c r="T33" s="3">
        <v>241849884</v>
      </c>
      <c r="U33" s="3">
        <v>241858894</v>
      </c>
      <c r="V33" s="3">
        <f t="shared" si="0"/>
        <v>9011</v>
      </c>
      <c r="W33" t="s">
        <v>38</v>
      </c>
    </row>
    <row r="34" spans="1:23">
      <c r="A34" s="1" t="s">
        <v>136</v>
      </c>
      <c r="B34" t="s">
        <v>137</v>
      </c>
      <c r="C34" t="s">
        <v>23</v>
      </c>
      <c r="D34" t="s">
        <v>24</v>
      </c>
      <c r="E34" t="s">
        <v>138</v>
      </c>
      <c r="F34" t="s">
        <v>26</v>
      </c>
      <c r="G34" t="s">
        <v>27</v>
      </c>
      <c r="I34" t="s">
        <v>28</v>
      </c>
      <c r="O34" t="s">
        <v>29</v>
      </c>
      <c r="R34" s="2"/>
      <c r="S34" t="s">
        <v>56</v>
      </c>
      <c r="T34" s="3">
        <v>203867771</v>
      </c>
      <c r="U34" s="3">
        <v>203873965</v>
      </c>
      <c r="V34" s="3">
        <f t="shared" si="0"/>
        <v>6195</v>
      </c>
      <c r="W34" t="s">
        <v>33</v>
      </c>
    </row>
    <row r="35" spans="1:23">
      <c r="A35" s="1" t="s">
        <v>139</v>
      </c>
      <c r="B35" t="s">
        <v>140</v>
      </c>
      <c r="C35" t="s">
        <v>23</v>
      </c>
      <c r="D35" t="s">
        <v>24</v>
      </c>
      <c r="E35" t="s">
        <v>138</v>
      </c>
      <c r="F35" t="s">
        <v>26</v>
      </c>
      <c r="G35" t="s">
        <v>27</v>
      </c>
      <c r="I35" t="s">
        <v>28</v>
      </c>
      <c r="O35" t="s">
        <v>29</v>
      </c>
      <c r="R35" s="2"/>
      <c r="S35" t="s">
        <v>106</v>
      </c>
      <c r="T35" s="3">
        <v>119524293</v>
      </c>
      <c r="U35" s="3">
        <v>119559614</v>
      </c>
      <c r="V35" s="3">
        <f t="shared" si="0"/>
        <v>35322</v>
      </c>
      <c r="W35" t="s">
        <v>38</v>
      </c>
    </row>
    <row r="36" spans="1:23">
      <c r="A36" s="1" t="s">
        <v>141</v>
      </c>
      <c r="B36" t="s">
        <v>142</v>
      </c>
      <c r="C36" t="s">
        <v>23</v>
      </c>
      <c r="D36" t="s">
        <v>24</v>
      </c>
      <c r="E36" t="s">
        <v>138</v>
      </c>
      <c r="F36" t="s">
        <v>26</v>
      </c>
      <c r="G36" t="s">
        <v>27</v>
      </c>
      <c r="I36" t="s">
        <v>28</v>
      </c>
      <c r="O36" t="s">
        <v>29</v>
      </c>
      <c r="R36" s="2"/>
      <c r="S36" t="s">
        <v>106</v>
      </c>
      <c r="T36" s="3">
        <v>122055362</v>
      </c>
      <c r="U36" s="3">
        <v>122121136</v>
      </c>
      <c r="V36" s="3">
        <f t="shared" si="0"/>
        <v>65775</v>
      </c>
      <c r="W36" t="s">
        <v>33</v>
      </c>
    </row>
    <row r="37" spans="1:23">
      <c r="A37" s="1" t="s">
        <v>143</v>
      </c>
      <c r="B37" t="s">
        <v>144</v>
      </c>
      <c r="C37" t="s">
        <v>23</v>
      </c>
      <c r="D37" t="s">
        <v>24</v>
      </c>
      <c r="E37" t="s">
        <v>145</v>
      </c>
      <c r="F37" t="s">
        <v>26</v>
      </c>
      <c r="G37" t="s">
        <v>27</v>
      </c>
      <c r="I37" t="s">
        <v>28</v>
      </c>
      <c r="O37" t="s">
        <v>29</v>
      </c>
      <c r="R37" s="2" t="s">
        <v>146</v>
      </c>
      <c r="S37" t="s">
        <v>56</v>
      </c>
      <c r="T37" s="3">
        <v>10122739</v>
      </c>
      <c r="U37" s="3">
        <v>10131414</v>
      </c>
      <c r="V37" s="3">
        <f t="shared" si="0"/>
        <v>8676</v>
      </c>
      <c r="W37" t="s">
        <v>33</v>
      </c>
    </row>
    <row r="38" spans="1:23">
      <c r="A38" s="1" t="s">
        <v>147</v>
      </c>
      <c r="B38" t="s">
        <v>148</v>
      </c>
      <c r="C38" t="s">
        <v>23</v>
      </c>
      <c r="D38" t="s">
        <v>24</v>
      </c>
      <c r="E38" t="s">
        <v>145</v>
      </c>
      <c r="F38" t="s">
        <v>26</v>
      </c>
      <c r="G38" t="s">
        <v>27</v>
      </c>
      <c r="I38" t="s">
        <v>28</v>
      </c>
      <c r="O38" t="s">
        <v>29</v>
      </c>
      <c r="R38" s="2" t="s">
        <v>146</v>
      </c>
      <c r="S38" t="s">
        <v>87</v>
      </c>
      <c r="T38" s="3">
        <v>49989162</v>
      </c>
      <c r="U38" s="3">
        <v>50025494</v>
      </c>
      <c r="V38" s="3">
        <f t="shared" si="0"/>
        <v>36333</v>
      </c>
      <c r="W38" t="s">
        <v>38</v>
      </c>
    </row>
    <row r="39" spans="1:23">
      <c r="A39" s="1" t="s">
        <v>149</v>
      </c>
      <c r="B39" t="s">
        <v>150</v>
      </c>
      <c r="C39" t="s">
        <v>23</v>
      </c>
      <c r="D39" t="s">
        <v>24</v>
      </c>
      <c r="E39" t="s">
        <v>145</v>
      </c>
      <c r="F39" t="s">
        <v>26</v>
      </c>
      <c r="G39" t="s">
        <v>27</v>
      </c>
      <c r="I39" t="s">
        <v>28</v>
      </c>
      <c r="O39" t="s">
        <v>29</v>
      </c>
      <c r="R39" s="2" t="s">
        <v>146</v>
      </c>
      <c r="S39" t="s">
        <v>64</v>
      </c>
      <c r="T39" s="3">
        <v>211662772</v>
      </c>
      <c r="U39" s="3">
        <v>211675621</v>
      </c>
      <c r="V39" s="3">
        <f t="shared" si="0"/>
        <v>12850</v>
      </c>
      <c r="W39" t="s">
        <v>38</v>
      </c>
    </row>
    <row r="40" spans="1:23">
      <c r="A40" s="1" t="s">
        <v>151</v>
      </c>
      <c r="B40" t="s">
        <v>152</v>
      </c>
      <c r="C40" t="s">
        <v>23</v>
      </c>
      <c r="D40" t="s">
        <v>24</v>
      </c>
      <c r="E40" t="s">
        <v>145</v>
      </c>
      <c r="F40" t="s">
        <v>26</v>
      </c>
      <c r="G40" t="s">
        <v>27</v>
      </c>
      <c r="I40" t="s">
        <v>28</v>
      </c>
      <c r="O40" t="s">
        <v>29</v>
      </c>
      <c r="R40" s="2" t="s">
        <v>146</v>
      </c>
      <c r="S40" t="s">
        <v>56</v>
      </c>
      <c r="T40" s="3">
        <v>26786056</v>
      </c>
      <c r="U40" s="3">
        <v>26794589</v>
      </c>
      <c r="V40" s="3">
        <f t="shared" si="0"/>
        <v>8534</v>
      </c>
      <c r="W40" t="s">
        <v>33</v>
      </c>
    </row>
    <row r="41" spans="1:23">
      <c r="A41" s="1" t="s">
        <v>153</v>
      </c>
      <c r="B41" t="s">
        <v>154</v>
      </c>
      <c r="C41" t="s">
        <v>23</v>
      </c>
      <c r="D41" t="s">
        <v>24</v>
      </c>
      <c r="E41" t="s">
        <v>145</v>
      </c>
      <c r="F41" t="s">
        <v>26</v>
      </c>
      <c r="G41" t="s">
        <v>27</v>
      </c>
      <c r="I41" t="s">
        <v>28</v>
      </c>
      <c r="O41" t="s">
        <v>29</v>
      </c>
      <c r="R41" s="2" t="s">
        <v>146</v>
      </c>
      <c r="S41" t="s">
        <v>70</v>
      </c>
      <c r="T41" s="3">
        <v>40161069</v>
      </c>
      <c r="U41" s="3">
        <v>40221123</v>
      </c>
      <c r="V41" s="3">
        <f t="shared" si="0"/>
        <v>60055</v>
      </c>
      <c r="W41" t="s">
        <v>33</v>
      </c>
    </row>
    <row r="42" spans="1:23">
      <c r="A42" s="1" t="s">
        <v>155</v>
      </c>
      <c r="B42" t="s">
        <v>156</v>
      </c>
      <c r="C42" t="s">
        <v>23</v>
      </c>
      <c r="D42" t="s">
        <v>24</v>
      </c>
      <c r="E42" t="s">
        <v>157</v>
      </c>
      <c r="F42" t="s">
        <v>26</v>
      </c>
      <c r="G42" t="s">
        <v>27</v>
      </c>
      <c r="I42" t="s">
        <v>28</v>
      </c>
      <c r="O42" t="s">
        <v>29</v>
      </c>
      <c r="R42" s="2" t="s">
        <v>158</v>
      </c>
      <c r="S42" t="s">
        <v>70</v>
      </c>
      <c r="T42" s="3">
        <v>98648539</v>
      </c>
      <c r="U42" s="3">
        <v>98964530</v>
      </c>
      <c r="V42" s="3">
        <f t="shared" si="0"/>
        <v>315992</v>
      </c>
      <c r="W42" t="s">
        <v>33</v>
      </c>
    </row>
    <row r="43" spans="1:23">
      <c r="A43" s="1" t="s">
        <v>159</v>
      </c>
      <c r="B43" t="s">
        <v>160</v>
      </c>
      <c r="C43" t="s">
        <v>161</v>
      </c>
      <c r="D43" t="s">
        <v>24</v>
      </c>
      <c r="E43" t="s">
        <v>162</v>
      </c>
      <c r="F43" t="s">
        <v>26</v>
      </c>
      <c r="G43" t="s">
        <v>27</v>
      </c>
      <c r="I43" t="s">
        <v>163</v>
      </c>
      <c r="K43" t="s">
        <v>164</v>
      </c>
      <c r="O43" t="s">
        <v>29</v>
      </c>
      <c r="R43" s="2" t="s">
        <v>146</v>
      </c>
      <c r="S43" t="s">
        <v>46</v>
      </c>
      <c r="T43" s="3">
        <v>48724763</v>
      </c>
      <c r="U43" s="3">
        <v>48728750</v>
      </c>
      <c r="V43" s="3">
        <f t="shared" si="0"/>
        <v>3988</v>
      </c>
      <c r="W43" t="s">
        <v>38</v>
      </c>
    </row>
    <row r="44" spans="1:23">
      <c r="A44" s="1" t="s">
        <v>165</v>
      </c>
      <c r="B44" t="s">
        <v>166</v>
      </c>
      <c r="C44" t="s">
        <v>161</v>
      </c>
      <c r="D44" t="s">
        <v>24</v>
      </c>
      <c r="E44" t="s">
        <v>162</v>
      </c>
      <c r="F44" t="s">
        <v>26</v>
      </c>
      <c r="G44" t="s">
        <v>27</v>
      </c>
      <c r="I44" t="s">
        <v>163</v>
      </c>
      <c r="K44" t="s">
        <v>164</v>
      </c>
      <c r="O44" t="s">
        <v>29</v>
      </c>
      <c r="R44" s="2" t="s">
        <v>146</v>
      </c>
      <c r="S44" t="s">
        <v>106</v>
      </c>
      <c r="T44" s="3">
        <v>53846568</v>
      </c>
      <c r="U44" s="3">
        <v>53865794</v>
      </c>
      <c r="V44" s="3">
        <f t="shared" si="0"/>
        <v>19227</v>
      </c>
      <c r="W44" t="s">
        <v>33</v>
      </c>
    </row>
    <row r="45" spans="1:23">
      <c r="A45" s="1" t="s">
        <v>167</v>
      </c>
      <c r="B45" t="s">
        <v>168</v>
      </c>
      <c r="C45" t="s">
        <v>23</v>
      </c>
      <c r="D45" t="s">
        <v>24</v>
      </c>
      <c r="E45" t="s">
        <v>169</v>
      </c>
      <c r="F45" t="s">
        <v>26</v>
      </c>
      <c r="G45" t="s">
        <v>27</v>
      </c>
      <c r="I45" t="s">
        <v>28</v>
      </c>
      <c r="O45" t="s">
        <v>29</v>
      </c>
      <c r="P45" t="s">
        <v>170</v>
      </c>
      <c r="R45" s="2" t="s">
        <v>171</v>
      </c>
      <c r="S45" t="s">
        <v>172</v>
      </c>
      <c r="T45" s="3">
        <v>56369390</v>
      </c>
      <c r="U45" s="3">
        <v>56392337</v>
      </c>
      <c r="V45" s="3">
        <f t="shared" si="0"/>
        <v>22948</v>
      </c>
      <c r="W45" t="s">
        <v>38</v>
      </c>
    </row>
    <row r="46" spans="1:23">
      <c r="A46" s="1" t="s">
        <v>173</v>
      </c>
      <c r="B46" t="s">
        <v>174</v>
      </c>
      <c r="C46" t="s">
        <v>23</v>
      </c>
      <c r="D46" t="s">
        <v>24</v>
      </c>
      <c r="E46" t="s">
        <v>169</v>
      </c>
      <c r="F46" t="s">
        <v>26</v>
      </c>
      <c r="G46" t="s">
        <v>27</v>
      </c>
      <c r="I46" t="s">
        <v>28</v>
      </c>
      <c r="O46" t="s">
        <v>29</v>
      </c>
      <c r="R46" s="2" t="s">
        <v>171</v>
      </c>
      <c r="S46" t="s">
        <v>46</v>
      </c>
      <c r="T46" s="3">
        <v>78214253</v>
      </c>
      <c r="U46" s="3">
        <v>78225635</v>
      </c>
      <c r="V46" s="3">
        <f t="shared" si="0"/>
        <v>11383</v>
      </c>
      <c r="W46" t="s">
        <v>33</v>
      </c>
    </row>
    <row r="47" spans="1:23">
      <c r="A47" s="1" t="s">
        <v>175</v>
      </c>
      <c r="B47" t="s">
        <v>176</v>
      </c>
      <c r="C47" t="s">
        <v>23</v>
      </c>
      <c r="D47" t="s">
        <v>24</v>
      </c>
      <c r="E47" t="s">
        <v>169</v>
      </c>
      <c r="F47" t="s">
        <v>26</v>
      </c>
      <c r="G47" t="s">
        <v>27</v>
      </c>
      <c r="I47" t="s">
        <v>28</v>
      </c>
      <c r="O47" t="s">
        <v>29</v>
      </c>
      <c r="R47" s="2" t="s">
        <v>171</v>
      </c>
      <c r="S47" t="s">
        <v>84</v>
      </c>
      <c r="T47" s="3">
        <v>69167150</v>
      </c>
      <c r="U47" s="3">
        <v>69178245</v>
      </c>
      <c r="V47" s="3">
        <f t="shared" si="0"/>
        <v>11096</v>
      </c>
      <c r="W47" t="s">
        <v>33</v>
      </c>
    </row>
    <row r="48" spans="1:23">
      <c r="A48" s="1" t="s">
        <v>177</v>
      </c>
      <c r="B48" t="s">
        <v>178</v>
      </c>
      <c r="C48" t="s">
        <v>23</v>
      </c>
      <c r="D48" t="s">
        <v>24</v>
      </c>
      <c r="E48" t="s">
        <v>169</v>
      </c>
      <c r="F48" t="s">
        <v>26</v>
      </c>
      <c r="G48" t="s">
        <v>27</v>
      </c>
      <c r="I48" t="s">
        <v>28</v>
      </c>
      <c r="O48" t="s">
        <v>29</v>
      </c>
      <c r="R48" s="2" t="s">
        <v>171</v>
      </c>
      <c r="S48" t="s">
        <v>172</v>
      </c>
      <c r="T48" s="3">
        <v>43667114</v>
      </c>
      <c r="U48" s="3">
        <v>43716482</v>
      </c>
      <c r="V48" s="3">
        <f t="shared" si="0"/>
        <v>49369</v>
      </c>
      <c r="W48" t="s">
        <v>33</v>
      </c>
    </row>
    <row r="49" spans="1:23">
      <c r="A49" s="1" t="s">
        <v>179</v>
      </c>
      <c r="B49" t="s">
        <v>180</v>
      </c>
      <c r="C49" t="s">
        <v>23</v>
      </c>
      <c r="D49" t="s">
        <v>24</v>
      </c>
      <c r="E49" t="s">
        <v>169</v>
      </c>
      <c r="F49" t="s">
        <v>26</v>
      </c>
      <c r="G49" t="s">
        <v>27</v>
      </c>
      <c r="I49" t="s">
        <v>28</v>
      </c>
      <c r="O49" t="s">
        <v>29</v>
      </c>
      <c r="R49" s="2" t="s">
        <v>171</v>
      </c>
      <c r="S49" t="s">
        <v>181</v>
      </c>
      <c r="T49" s="3">
        <v>63123346</v>
      </c>
      <c r="U49" s="3">
        <v>63320128</v>
      </c>
      <c r="V49" s="3">
        <f t="shared" si="0"/>
        <v>196783</v>
      </c>
      <c r="W49" t="s">
        <v>38</v>
      </c>
    </row>
    <row r="50" spans="1:23">
      <c r="A50" s="1" t="s">
        <v>182</v>
      </c>
      <c r="B50" t="s">
        <v>183</v>
      </c>
      <c r="C50" t="s">
        <v>23</v>
      </c>
      <c r="D50" t="s">
        <v>24</v>
      </c>
      <c r="E50" t="s">
        <v>169</v>
      </c>
      <c r="F50" t="s">
        <v>26</v>
      </c>
      <c r="G50" t="s">
        <v>27</v>
      </c>
      <c r="I50" t="s">
        <v>28</v>
      </c>
      <c r="O50" t="s">
        <v>29</v>
      </c>
      <c r="R50" s="2" t="s">
        <v>171</v>
      </c>
      <c r="S50" t="s">
        <v>42</v>
      </c>
      <c r="T50" s="3">
        <v>9020884</v>
      </c>
      <c r="U50" s="3">
        <v>9091599</v>
      </c>
      <c r="V50" s="3">
        <f t="shared" si="0"/>
        <v>70716</v>
      </c>
      <c r="W50" t="s">
        <v>38</v>
      </c>
    </row>
    <row r="51" spans="1:23">
      <c r="A51" s="1" t="s">
        <v>184</v>
      </c>
      <c r="B51" t="s">
        <v>185</v>
      </c>
      <c r="C51" t="s">
        <v>23</v>
      </c>
      <c r="D51" t="s">
        <v>24</v>
      </c>
      <c r="E51" t="s">
        <v>169</v>
      </c>
      <c r="F51" t="s">
        <v>26</v>
      </c>
      <c r="G51" t="s">
        <v>27</v>
      </c>
      <c r="I51" t="s">
        <v>28</v>
      </c>
      <c r="O51" t="s">
        <v>29</v>
      </c>
      <c r="P51" t="s">
        <v>186</v>
      </c>
      <c r="R51" s="2" t="s">
        <v>171</v>
      </c>
      <c r="S51" t="s">
        <v>187</v>
      </c>
      <c r="T51" s="3">
        <v>23772849</v>
      </c>
      <c r="U51" s="3">
        <v>23784316</v>
      </c>
      <c r="V51" s="3">
        <f t="shared" si="0"/>
        <v>11468</v>
      </c>
      <c r="W51" t="s">
        <v>33</v>
      </c>
    </row>
    <row r="52" spans="1:23">
      <c r="A52" s="1" t="s">
        <v>188</v>
      </c>
      <c r="B52" t="s">
        <v>189</v>
      </c>
      <c r="C52" t="s">
        <v>23</v>
      </c>
      <c r="D52" t="s">
        <v>24</v>
      </c>
      <c r="E52" t="s">
        <v>169</v>
      </c>
      <c r="F52" t="s">
        <v>26</v>
      </c>
      <c r="G52" t="s">
        <v>27</v>
      </c>
      <c r="I52" t="s">
        <v>28</v>
      </c>
      <c r="O52" t="s">
        <v>29</v>
      </c>
      <c r="P52" t="s">
        <v>190</v>
      </c>
      <c r="R52" s="2" t="s">
        <v>171</v>
      </c>
      <c r="S52" t="s">
        <v>67</v>
      </c>
      <c r="T52" s="3">
        <v>97029677</v>
      </c>
      <c r="U52" s="3">
        <v>97039142</v>
      </c>
      <c r="V52" s="3">
        <f t="shared" si="0"/>
        <v>9466</v>
      </c>
      <c r="W52" t="s">
        <v>38</v>
      </c>
    </row>
    <row r="53" spans="1:23">
      <c r="A53" s="1" t="s">
        <v>191</v>
      </c>
      <c r="B53" t="s">
        <v>192</v>
      </c>
      <c r="C53" t="s">
        <v>23</v>
      </c>
      <c r="D53" t="s">
        <v>24</v>
      </c>
      <c r="E53" t="s">
        <v>169</v>
      </c>
      <c r="F53" t="s">
        <v>26</v>
      </c>
      <c r="G53" t="s">
        <v>27</v>
      </c>
      <c r="I53" t="s">
        <v>28</v>
      </c>
      <c r="O53" t="s">
        <v>29</v>
      </c>
      <c r="R53" s="2" t="s">
        <v>171</v>
      </c>
      <c r="S53" t="s">
        <v>64</v>
      </c>
      <c r="T53" s="3">
        <v>109687817</v>
      </c>
      <c r="U53" s="3">
        <v>109693745</v>
      </c>
      <c r="V53" s="3">
        <f t="shared" si="0"/>
        <v>5929</v>
      </c>
      <c r="W53" t="s">
        <v>33</v>
      </c>
    </row>
    <row r="54" spans="1:23">
      <c r="A54" s="1" t="s">
        <v>193</v>
      </c>
      <c r="B54" t="s">
        <v>194</v>
      </c>
      <c r="C54" t="s">
        <v>23</v>
      </c>
      <c r="D54" t="s">
        <v>24</v>
      </c>
      <c r="E54" t="s">
        <v>169</v>
      </c>
      <c r="F54" t="s">
        <v>26</v>
      </c>
      <c r="G54" t="s">
        <v>27</v>
      </c>
      <c r="I54" t="s">
        <v>28</v>
      </c>
      <c r="O54" t="s">
        <v>29</v>
      </c>
      <c r="R54" s="2" t="s">
        <v>171</v>
      </c>
      <c r="S54" t="s">
        <v>67</v>
      </c>
      <c r="T54" s="3">
        <v>33252471</v>
      </c>
      <c r="U54" s="3">
        <v>33264708</v>
      </c>
      <c r="V54" s="3">
        <f t="shared" si="0"/>
        <v>12238</v>
      </c>
      <c r="W54" t="s">
        <v>38</v>
      </c>
    </row>
    <row r="55" spans="1:23">
      <c r="A55" s="1" t="s">
        <v>195</v>
      </c>
      <c r="B55" t="s">
        <v>196</v>
      </c>
      <c r="C55" t="s">
        <v>23</v>
      </c>
      <c r="D55" t="s">
        <v>24</v>
      </c>
      <c r="E55" t="s">
        <v>169</v>
      </c>
      <c r="F55" t="s">
        <v>26</v>
      </c>
      <c r="G55" t="s">
        <v>27</v>
      </c>
      <c r="I55" t="s">
        <v>28</v>
      </c>
      <c r="O55" t="s">
        <v>29</v>
      </c>
      <c r="R55" s="2" t="s">
        <v>171</v>
      </c>
      <c r="S55" t="s">
        <v>46</v>
      </c>
      <c r="T55" s="3">
        <v>7579638</v>
      </c>
      <c r="U55" s="3">
        <v>7582111</v>
      </c>
      <c r="V55" s="3">
        <f t="shared" si="0"/>
        <v>2474</v>
      </c>
      <c r="W55" t="s">
        <v>33</v>
      </c>
    </row>
    <row r="56" spans="1:23">
      <c r="A56" s="1" t="s">
        <v>197</v>
      </c>
      <c r="B56" t="s">
        <v>198</v>
      </c>
      <c r="C56" t="s">
        <v>23</v>
      </c>
      <c r="D56" t="s">
        <v>24</v>
      </c>
      <c r="E56" t="s">
        <v>169</v>
      </c>
      <c r="F56" t="s">
        <v>26</v>
      </c>
      <c r="G56" t="s">
        <v>27</v>
      </c>
      <c r="I56" t="s">
        <v>28</v>
      </c>
      <c r="O56" t="s">
        <v>29</v>
      </c>
      <c r="R56" s="2" t="s">
        <v>171</v>
      </c>
      <c r="S56" t="s">
        <v>46</v>
      </c>
      <c r="T56" s="3">
        <v>39737938</v>
      </c>
      <c r="U56" s="3">
        <v>39747285</v>
      </c>
      <c r="V56" s="3">
        <f t="shared" si="0"/>
        <v>9348</v>
      </c>
      <c r="W56" t="s">
        <v>33</v>
      </c>
    </row>
    <row r="57" spans="1:23">
      <c r="A57" s="1" t="s">
        <v>199</v>
      </c>
      <c r="B57" t="s">
        <v>200</v>
      </c>
      <c r="C57" t="s">
        <v>23</v>
      </c>
      <c r="D57" t="s">
        <v>24</v>
      </c>
      <c r="E57" t="s">
        <v>169</v>
      </c>
      <c r="F57" t="s">
        <v>26</v>
      </c>
      <c r="G57" t="s">
        <v>27</v>
      </c>
      <c r="I57" t="s">
        <v>28</v>
      </c>
      <c r="O57" t="s">
        <v>29</v>
      </c>
      <c r="P57" t="s">
        <v>201</v>
      </c>
      <c r="R57" s="2" t="s">
        <v>171</v>
      </c>
      <c r="S57" t="s">
        <v>202</v>
      </c>
      <c r="T57" s="3">
        <v>5527148</v>
      </c>
      <c r="U57" s="3">
        <v>5530601</v>
      </c>
      <c r="V57" s="3">
        <f t="shared" si="0"/>
        <v>3454</v>
      </c>
      <c r="W57" t="s">
        <v>38</v>
      </c>
    </row>
    <row r="58" spans="1:23">
      <c r="A58" s="1" t="s">
        <v>203</v>
      </c>
      <c r="B58" t="s">
        <v>204</v>
      </c>
      <c r="C58" t="s">
        <v>23</v>
      </c>
      <c r="D58" t="s">
        <v>24</v>
      </c>
      <c r="E58" t="s">
        <v>169</v>
      </c>
      <c r="F58" t="s">
        <v>26</v>
      </c>
      <c r="G58" t="s">
        <v>27</v>
      </c>
      <c r="I58" t="s">
        <v>28</v>
      </c>
      <c r="O58" t="s">
        <v>29</v>
      </c>
      <c r="P58" t="s">
        <v>201</v>
      </c>
      <c r="R58" s="2" t="s">
        <v>171</v>
      </c>
      <c r="S58" t="s">
        <v>87</v>
      </c>
      <c r="T58" s="3">
        <v>6534517</v>
      </c>
      <c r="U58" s="3">
        <v>6538371</v>
      </c>
      <c r="V58" s="3">
        <f t="shared" si="0"/>
        <v>3855</v>
      </c>
      <c r="W58" t="s">
        <v>33</v>
      </c>
    </row>
    <row r="59" spans="1:23">
      <c r="A59" s="1" t="s">
        <v>205</v>
      </c>
      <c r="B59" t="s">
        <v>206</v>
      </c>
      <c r="C59" t="s">
        <v>23</v>
      </c>
      <c r="D59" t="s">
        <v>24</v>
      </c>
      <c r="E59" t="s">
        <v>169</v>
      </c>
      <c r="F59" t="s">
        <v>26</v>
      </c>
      <c r="G59" t="s">
        <v>27</v>
      </c>
      <c r="I59" t="s">
        <v>28</v>
      </c>
      <c r="O59" t="s">
        <v>29</v>
      </c>
      <c r="P59" t="s">
        <v>201</v>
      </c>
      <c r="R59" s="2" t="s">
        <v>171</v>
      </c>
      <c r="S59" t="s">
        <v>87</v>
      </c>
      <c r="T59" s="3">
        <v>120196699</v>
      </c>
      <c r="U59" s="3">
        <v>120201111</v>
      </c>
      <c r="V59" s="3">
        <f t="shared" si="0"/>
        <v>4413</v>
      </c>
      <c r="W59" t="s">
        <v>38</v>
      </c>
    </row>
    <row r="60" spans="1:23">
      <c r="A60" s="1" t="s">
        <v>207</v>
      </c>
      <c r="B60" t="s">
        <v>208</v>
      </c>
      <c r="C60" t="s">
        <v>23</v>
      </c>
      <c r="D60" t="s">
        <v>24</v>
      </c>
      <c r="E60" t="s">
        <v>169</v>
      </c>
      <c r="F60" t="s">
        <v>26</v>
      </c>
      <c r="G60" t="s">
        <v>27</v>
      </c>
      <c r="I60" t="s">
        <v>28</v>
      </c>
      <c r="O60" t="s">
        <v>29</v>
      </c>
      <c r="P60" t="s">
        <v>201</v>
      </c>
      <c r="R60" s="2" t="s">
        <v>171</v>
      </c>
      <c r="S60" t="s">
        <v>202</v>
      </c>
      <c r="T60" s="3">
        <v>65960684</v>
      </c>
      <c r="U60" s="3">
        <v>65982213</v>
      </c>
      <c r="V60" s="3">
        <f t="shared" si="0"/>
        <v>21530</v>
      </c>
      <c r="W60" t="s">
        <v>38</v>
      </c>
    </row>
    <row r="61" spans="1:23">
      <c r="A61" s="1" t="s">
        <v>209</v>
      </c>
      <c r="B61" t="s">
        <v>210</v>
      </c>
      <c r="C61" t="s">
        <v>23</v>
      </c>
      <c r="D61" t="s">
        <v>24</v>
      </c>
      <c r="E61" t="s">
        <v>169</v>
      </c>
      <c r="F61" t="s">
        <v>26</v>
      </c>
      <c r="G61" t="s">
        <v>27</v>
      </c>
      <c r="I61" t="s">
        <v>28</v>
      </c>
      <c r="O61" t="s">
        <v>29</v>
      </c>
      <c r="P61" t="s">
        <v>201</v>
      </c>
      <c r="R61" s="2" t="s">
        <v>171</v>
      </c>
      <c r="S61" t="s">
        <v>106</v>
      </c>
      <c r="T61" s="3">
        <v>196049284</v>
      </c>
      <c r="U61" s="3">
        <v>196082090</v>
      </c>
      <c r="V61" s="3">
        <f t="shared" si="0"/>
        <v>32807</v>
      </c>
      <c r="W61" t="s">
        <v>38</v>
      </c>
    </row>
    <row r="62" spans="1:23">
      <c r="A62" s="1" t="s">
        <v>211</v>
      </c>
      <c r="B62" s="4" t="s">
        <v>212</v>
      </c>
      <c r="C62" s="4" t="s">
        <v>49</v>
      </c>
      <c r="D62" s="4" t="s">
        <v>24</v>
      </c>
      <c r="E62" s="4" t="s">
        <v>213</v>
      </c>
      <c r="F62" t="s">
        <v>26</v>
      </c>
      <c r="O62" t="s">
        <v>29</v>
      </c>
      <c r="P62" s="4" t="s">
        <v>214</v>
      </c>
      <c r="R62" s="2" t="s">
        <v>215</v>
      </c>
      <c r="S62" t="s">
        <v>187</v>
      </c>
      <c r="T62" s="3">
        <v>38952741</v>
      </c>
      <c r="U62" s="3">
        <v>38963184</v>
      </c>
      <c r="V62" s="3">
        <f t="shared" si="0"/>
        <v>10444</v>
      </c>
      <c r="W62" t="s">
        <v>33</v>
      </c>
    </row>
    <row r="63" spans="1:23">
      <c r="A63" s="1" t="s">
        <v>216</v>
      </c>
      <c r="B63" s="4" t="s">
        <v>217</v>
      </c>
      <c r="C63" s="4" t="s">
        <v>125</v>
      </c>
      <c r="D63" s="4" t="s">
        <v>24</v>
      </c>
      <c r="E63" s="4" t="s">
        <v>213</v>
      </c>
      <c r="F63" t="s">
        <v>26</v>
      </c>
      <c r="I63" s="5" t="s">
        <v>218</v>
      </c>
      <c r="O63" t="s">
        <v>129</v>
      </c>
      <c r="P63" s="4" t="s">
        <v>214</v>
      </c>
      <c r="R63" s="2" t="s">
        <v>215</v>
      </c>
      <c r="S63" t="s">
        <v>187</v>
      </c>
      <c r="T63" s="3">
        <v>38952741</v>
      </c>
      <c r="U63" s="3">
        <v>38963184</v>
      </c>
      <c r="V63" s="3">
        <f>U63-(T63-1)</f>
        <v>10444</v>
      </c>
      <c r="W63" t="s">
        <v>33</v>
      </c>
    </row>
    <row r="64" spans="1:23">
      <c r="A64" s="1" t="s">
        <v>219</v>
      </c>
      <c r="B64" t="s">
        <v>220</v>
      </c>
      <c r="C64" s="4" t="s">
        <v>49</v>
      </c>
      <c r="D64" s="4" t="s">
        <v>24</v>
      </c>
      <c r="E64" s="4"/>
      <c r="F64" t="s">
        <v>26</v>
      </c>
      <c r="I64" s="5"/>
      <c r="O64" t="s">
        <v>29</v>
      </c>
      <c r="P64" t="s">
        <v>221</v>
      </c>
      <c r="R64" s="2"/>
      <c r="S64" t="s">
        <v>64</v>
      </c>
      <c r="T64">
        <v>26693235</v>
      </c>
      <c r="U64">
        <v>26782104</v>
      </c>
      <c r="V64" s="3">
        <f t="shared" ref="V64:V127" si="1">U64-(T64-1)</f>
        <v>88870</v>
      </c>
      <c r="W64" t="s">
        <v>33</v>
      </c>
    </row>
    <row r="65" spans="1:23">
      <c r="A65" s="1" t="s">
        <v>222</v>
      </c>
      <c r="B65" t="s">
        <v>223</v>
      </c>
      <c r="C65" s="4" t="s">
        <v>49</v>
      </c>
      <c r="D65" s="4" t="s">
        <v>24</v>
      </c>
      <c r="E65" s="4"/>
      <c r="F65" t="s">
        <v>26</v>
      </c>
      <c r="I65" s="5"/>
      <c r="O65" t="s">
        <v>29</v>
      </c>
      <c r="P65" t="s">
        <v>221</v>
      </c>
      <c r="R65" s="2"/>
      <c r="S65" t="s">
        <v>64</v>
      </c>
      <c r="T65">
        <v>36466042</v>
      </c>
      <c r="U65">
        <v>36483278</v>
      </c>
      <c r="V65" s="3">
        <f t="shared" si="1"/>
        <v>17237</v>
      </c>
      <c r="W65" t="s">
        <v>38</v>
      </c>
    </row>
    <row r="66" spans="1:23">
      <c r="A66" s="1" t="s">
        <v>224</v>
      </c>
      <c r="B66" t="s">
        <v>225</v>
      </c>
      <c r="C66" s="4" t="s">
        <v>49</v>
      </c>
      <c r="D66" s="4" t="s">
        <v>24</v>
      </c>
      <c r="E66" s="4"/>
      <c r="F66" t="s">
        <v>26</v>
      </c>
      <c r="I66" s="5"/>
      <c r="O66" t="s">
        <v>29</v>
      </c>
      <c r="P66" t="s">
        <v>221</v>
      </c>
      <c r="R66" s="2"/>
      <c r="S66" t="s">
        <v>64</v>
      </c>
      <c r="T66">
        <v>43337817</v>
      </c>
      <c r="U66">
        <v>43354466</v>
      </c>
      <c r="V66" s="3">
        <f t="shared" si="1"/>
        <v>16650</v>
      </c>
      <c r="W66" t="s">
        <v>33</v>
      </c>
    </row>
    <row r="67" spans="1:23">
      <c r="A67" s="1" t="s">
        <v>226</v>
      </c>
      <c r="B67" t="s">
        <v>227</v>
      </c>
      <c r="C67" s="4" t="s">
        <v>49</v>
      </c>
      <c r="D67" s="4" t="s">
        <v>24</v>
      </c>
      <c r="E67" s="4"/>
      <c r="F67" t="s">
        <v>26</v>
      </c>
      <c r="I67" s="5"/>
      <c r="O67" t="s">
        <v>29</v>
      </c>
      <c r="P67" t="s">
        <v>221</v>
      </c>
      <c r="R67" s="2"/>
      <c r="S67" t="s">
        <v>64</v>
      </c>
      <c r="T67">
        <v>45329162</v>
      </c>
      <c r="U67">
        <v>45340893</v>
      </c>
      <c r="V67" s="3">
        <f t="shared" si="1"/>
        <v>11732</v>
      </c>
      <c r="W67" t="s">
        <v>38</v>
      </c>
    </row>
    <row r="68" spans="1:23">
      <c r="A68" s="1" t="s">
        <v>228</v>
      </c>
      <c r="B68" t="s">
        <v>229</v>
      </c>
      <c r="C68" s="4" t="s">
        <v>49</v>
      </c>
      <c r="D68" s="4" t="s">
        <v>24</v>
      </c>
      <c r="E68" s="4"/>
      <c r="F68" t="s">
        <v>26</v>
      </c>
      <c r="I68" s="5"/>
      <c r="O68" t="s">
        <v>29</v>
      </c>
      <c r="P68" t="s">
        <v>221</v>
      </c>
      <c r="R68" s="2"/>
      <c r="S68" t="s">
        <v>64</v>
      </c>
      <c r="T68">
        <v>114704468</v>
      </c>
      <c r="U68">
        <v>114716771</v>
      </c>
      <c r="V68" s="3">
        <f t="shared" si="1"/>
        <v>12304</v>
      </c>
      <c r="W68" t="s">
        <v>38</v>
      </c>
    </row>
    <row r="69" spans="1:23">
      <c r="A69" s="1" t="s">
        <v>230</v>
      </c>
      <c r="B69" t="s">
        <v>231</v>
      </c>
      <c r="C69" s="4" t="s">
        <v>49</v>
      </c>
      <c r="D69" s="4" t="s">
        <v>24</v>
      </c>
      <c r="E69" s="4"/>
      <c r="F69" t="s">
        <v>26</v>
      </c>
      <c r="I69" s="5"/>
      <c r="O69" t="s">
        <v>29</v>
      </c>
      <c r="P69" t="s">
        <v>221</v>
      </c>
      <c r="R69" s="2"/>
      <c r="S69" t="s">
        <v>64</v>
      </c>
      <c r="T69">
        <v>119911552</v>
      </c>
      <c r="U69">
        <v>120100779</v>
      </c>
      <c r="V69" s="3">
        <f t="shared" si="1"/>
        <v>189228</v>
      </c>
      <c r="W69" t="s">
        <v>38</v>
      </c>
    </row>
    <row r="70" spans="1:23">
      <c r="A70" s="1" t="s">
        <v>232</v>
      </c>
      <c r="B70" t="s">
        <v>233</v>
      </c>
      <c r="C70" s="4" t="s">
        <v>49</v>
      </c>
      <c r="D70" s="4" t="s">
        <v>24</v>
      </c>
      <c r="E70" s="4"/>
      <c r="F70" t="s">
        <v>26</v>
      </c>
      <c r="I70" s="5"/>
      <c r="O70" t="s">
        <v>29</v>
      </c>
      <c r="P70" t="s">
        <v>221</v>
      </c>
      <c r="R70" s="2"/>
      <c r="S70" t="s">
        <v>73</v>
      </c>
      <c r="T70">
        <v>86756600</v>
      </c>
      <c r="U70">
        <v>86932825</v>
      </c>
      <c r="V70" s="3">
        <f t="shared" si="1"/>
        <v>176226</v>
      </c>
      <c r="W70" t="s">
        <v>33</v>
      </c>
    </row>
    <row r="71" spans="1:23">
      <c r="A71" s="1" t="s">
        <v>234</v>
      </c>
      <c r="B71" t="s">
        <v>235</v>
      </c>
      <c r="C71" s="4" t="s">
        <v>49</v>
      </c>
      <c r="D71" s="4" t="s">
        <v>24</v>
      </c>
      <c r="E71" s="4"/>
      <c r="F71" t="s">
        <v>26</v>
      </c>
      <c r="I71" s="5"/>
      <c r="O71" t="s">
        <v>29</v>
      </c>
      <c r="P71" t="s">
        <v>221</v>
      </c>
      <c r="R71" s="2"/>
      <c r="S71" t="s">
        <v>42</v>
      </c>
      <c r="T71">
        <v>102317449</v>
      </c>
      <c r="U71">
        <v>102339403</v>
      </c>
      <c r="V71" s="3">
        <f t="shared" si="1"/>
        <v>21955</v>
      </c>
      <c r="W71" t="s">
        <v>33</v>
      </c>
    </row>
    <row r="72" spans="1:23">
      <c r="A72" s="1" t="s">
        <v>236</v>
      </c>
      <c r="B72" t="s">
        <v>237</v>
      </c>
      <c r="C72" s="4" t="s">
        <v>49</v>
      </c>
      <c r="D72" s="4" t="s">
        <v>24</v>
      </c>
      <c r="E72" s="4"/>
      <c r="F72" t="s">
        <v>26</v>
      </c>
      <c r="I72" s="5"/>
      <c r="O72" t="s">
        <v>29</v>
      </c>
      <c r="P72" t="s">
        <v>221</v>
      </c>
      <c r="R72" s="2"/>
      <c r="S72" t="s">
        <v>42</v>
      </c>
      <c r="T72">
        <v>108223043</v>
      </c>
      <c r="U72">
        <v>108369102</v>
      </c>
      <c r="V72" s="3">
        <f t="shared" si="1"/>
        <v>146060</v>
      </c>
      <c r="W72" t="s">
        <v>33</v>
      </c>
    </row>
    <row r="73" spans="1:23">
      <c r="A73" s="1" t="s">
        <v>238</v>
      </c>
      <c r="B73" t="s">
        <v>239</v>
      </c>
      <c r="C73" s="4" t="s">
        <v>49</v>
      </c>
      <c r="D73" s="4" t="s">
        <v>24</v>
      </c>
      <c r="E73" s="4"/>
      <c r="F73" t="s">
        <v>26</v>
      </c>
      <c r="I73" s="5"/>
      <c r="O73" t="s">
        <v>29</v>
      </c>
      <c r="P73" t="s">
        <v>221</v>
      </c>
      <c r="R73" s="2"/>
      <c r="S73" t="s">
        <v>42</v>
      </c>
      <c r="T73">
        <v>119206297</v>
      </c>
      <c r="U73">
        <v>119313926</v>
      </c>
      <c r="V73" s="3">
        <f t="shared" si="1"/>
        <v>107630</v>
      </c>
      <c r="W73" t="s">
        <v>33</v>
      </c>
    </row>
    <row r="74" spans="1:23">
      <c r="A74" s="1" t="s">
        <v>240</v>
      </c>
      <c r="B74" t="s">
        <v>241</v>
      </c>
      <c r="C74" s="4" t="s">
        <v>49</v>
      </c>
      <c r="D74" s="4" t="s">
        <v>24</v>
      </c>
      <c r="E74" s="4"/>
      <c r="F74" t="s">
        <v>26</v>
      </c>
      <c r="I74" s="5"/>
      <c r="O74" t="s">
        <v>29</v>
      </c>
      <c r="P74" t="s">
        <v>221</v>
      </c>
      <c r="R74" s="2"/>
      <c r="S74" t="s">
        <v>87</v>
      </c>
      <c r="T74">
        <v>22625074</v>
      </c>
      <c r="U74">
        <v>22690665</v>
      </c>
      <c r="V74" s="3">
        <f t="shared" si="1"/>
        <v>65592</v>
      </c>
      <c r="W74" t="s">
        <v>33</v>
      </c>
    </row>
    <row r="75" spans="1:23">
      <c r="A75" s="1" t="s">
        <v>242</v>
      </c>
      <c r="B75" t="s">
        <v>243</v>
      </c>
      <c r="C75" s="4" t="s">
        <v>49</v>
      </c>
      <c r="D75" s="4" t="s">
        <v>24</v>
      </c>
      <c r="E75" s="4"/>
      <c r="F75" t="s">
        <v>26</v>
      </c>
      <c r="I75" s="5"/>
      <c r="O75" t="s">
        <v>29</v>
      </c>
      <c r="P75" t="s">
        <v>221</v>
      </c>
      <c r="R75" s="2"/>
      <c r="S75" t="s">
        <v>87</v>
      </c>
      <c r="T75">
        <v>25205245</v>
      </c>
      <c r="U75">
        <v>25250936</v>
      </c>
      <c r="V75" s="3">
        <f t="shared" si="1"/>
        <v>45692</v>
      </c>
      <c r="W75" t="s">
        <v>38</v>
      </c>
    </row>
    <row r="76" spans="1:23">
      <c r="A76" s="1" t="s">
        <v>244</v>
      </c>
      <c r="B76" t="s">
        <v>245</v>
      </c>
      <c r="C76" s="4" t="s">
        <v>49</v>
      </c>
      <c r="D76" s="4" t="s">
        <v>24</v>
      </c>
      <c r="E76" s="4"/>
      <c r="F76" t="s">
        <v>26</v>
      </c>
      <c r="I76" s="5"/>
      <c r="O76" t="s">
        <v>29</v>
      </c>
      <c r="P76" t="s">
        <v>221</v>
      </c>
      <c r="R76" s="2"/>
      <c r="S76" t="s">
        <v>87</v>
      </c>
      <c r="T76">
        <v>111405922</v>
      </c>
      <c r="U76">
        <v>111451623</v>
      </c>
      <c r="V76" s="3">
        <f t="shared" si="1"/>
        <v>45702</v>
      </c>
      <c r="W76" t="s">
        <v>33</v>
      </c>
    </row>
    <row r="77" spans="1:23">
      <c r="A77" s="1" t="s">
        <v>246</v>
      </c>
      <c r="B77" t="s">
        <v>247</v>
      </c>
      <c r="C77" s="4" t="s">
        <v>49</v>
      </c>
      <c r="D77" s="4" t="s">
        <v>24</v>
      </c>
      <c r="E77" s="4"/>
      <c r="F77" t="s">
        <v>26</v>
      </c>
      <c r="I77" s="5"/>
      <c r="O77" t="s">
        <v>29</v>
      </c>
      <c r="P77" t="s">
        <v>221</v>
      </c>
      <c r="R77" s="2"/>
      <c r="S77" t="s">
        <v>87</v>
      </c>
      <c r="T77">
        <v>132623752</v>
      </c>
      <c r="U77">
        <v>132687376</v>
      </c>
      <c r="V77" s="3">
        <f t="shared" si="1"/>
        <v>63625</v>
      </c>
      <c r="W77" t="s">
        <v>38</v>
      </c>
    </row>
    <row r="78" spans="1:23">
      <c r="A78" s="1" t="s">
        <v>248</v>
      </c>
      <c r="B78" t="s">
        <v>249</v>
      </c>
      <c r="C78" s="4" t="s">
        <v>49</v>
      </c>
      <c r="D78" s="4" t="s">
        <v>24</v>
      </c>
      <c r="E78" s="4"/>
      <c r="F78" t="s">
        <v>26</v>
      </c>
      <c r="I78" s="5"/>
      <c r="O78" t="s">
        <v>29</v>
      </c>
      <c r="P78" t="s">
        <v>221</v>
      </c>
      <c r="R78" s="2"/>
      <c r="S78" t="s">
        <v>53</v>
      </c>
      <c r="T78">
        <v>28003273</v>
      </c>
      <c r="U78">
        <v>28100592</v>
      </c>
      <c r="V78" s="3">
        <f t="shared" si="1"/>
        <v>97320</v>
      </c>
      <c r="W78" t="s">
        <v>38</v>
      </c>
    </row>
    <row r="79" spans="1:23">
      <c r="A79" s="1" t="s">
        <v>250</v>
      </c>
      <c r="B79" t="s">
        <v>251</v>
      </c>
      <c r="C79" s="4" t="s">
        <v>49</v>
      </c>
      <c r="D79" s="4" t="s">
        <v>24</v>
      </c>
      <c r="E79" s="4"/>
      <c r="F79" t="s">
        <v>26</v>
      </c>
      <c r="I79" s="5"/>
      <c r="O79" t="s">
        <v>29</v>
      </c>
      <c r="P79" t="s">
        <v>221</v>
      </c>
      <c r="R79" s="2"/>
      <c r="S79" t="s">
        <v>70</v>
      </c>
      <c r="T79">
        <v>66386836</v>
      </c>
      <c r="U79">
        <v>66491544</v>
      </c>
      <c r="V79" s="3">
        <f t="shared" si="1"/>
        <v>104709</v>
      </c>
      <c r="W79" t="s">
        <v>33</v>
      </c>
    </row>
    <row r="80" spans="1:23">
      <c r="A80" s="1" t="s">
        <v>252</v>
      </c>
      <c r="B80" t="s">
        <v>253</v>
      </c>
      <c r="C80" s="4" t="s">
        <v>49</v>
      </c>
      <c r="D80" s="4" t="s">
        <v>24</v>
      </c>
      <c r="E80" s="4"/>
      <c r="F80" t="s">
        <v>26</v>
      </c>
      <c r="I80" s="5"/>
      <c r="O80" t="s">
        <v>29</v>
      </c>
      <c r="P80" t="s">
        <v>221</v>
      </c>
      <c r="R80" s="2"/>
      <c r="S80" t="s">
        <v>70</v>
      </c>
      <c r="T80">
        <v>90083044</v>
      </c>
      <c r="U80">
        <v>90102477</v>
      </c>
      <c r="V80" s="3">
        <f t="shared" si="1"/>
        <v>19434</v>
      </c>
      <c r="W80" t="s">
        <v>38</v>
      </c>
    </row>
    <row r="81" spans="1:23">
      <c r="A81" s="1" t="s">
        <v>254</v>
      </c>
      <c r="B81" t="s">
        <v>255</v>
      </c>
      <c r="C81" s="4" t="s">
        <v>49</v>
      </c>
      <c r="D81" s="4" t="s">
        <v>24</v>
      </c>
      <c r="E81" s="4"/>
      <c r="F81" t="s">
        <v>26</v>
      </c>
      <c r="I81" s="5"/>
      <c r="O81" t="s">
        <v>29</v>
      </c>
      <c r="P81" t="s">
        <v>256</v>
      </c>
      <c r="R81" s="2"/>
      <c r="S81" t="s">
        <v>70</v>
      </c>
      <c r="T81">
        <v>90102648</v>
      </c>
      <c r="U81">
        <v>90138016</v>
      </c>
      <c r="V81" s="3">
        <f t="shared" si="1"/>
        <v>35369</v>
      </c>
      <c r="W81" t="s">
        <v>33</v>
      </c>
    </row>
    <row r="82" spans="1:23">
      <c r="A82" s="1" t="s">
        <v>257</v>
      </c>
      <c r="B82" t="s">
        <v>258</v>
      </c>
      <c r="C82" s="4" t="s">
        <v>49</v>
      </c>
      <c r="D82" s="4" t="s">
        <v>24</v>
      </c>
      <c r="E82" s="4"/>
      <c r="F82" t="s">
        <v>26</v>
      </c>
      <c r="I82" s="5"/>
      <c r="O82" t="s">
        <v>29</v>
      </c>
      <c r="P82" t="s">
        <v>221</v>
      </c>
      <c r="R82" s="2"/>
      <c r="S82" t="s">
        <v>59</v>
      </c>
      <c r="T82">
        <v>2039814</v>
      </c>
      <c r="U82">
        <v>2047866</v>
      </c>
      <c r="V82" s="3">
        <f t="shared" si="1"/>
        <v>8053</v>
      </c>
      <c r="W82" t="s">
        <v>38</v>
      </c>
    </row>
    <row r="83" spans="1:23">
      <c r="A83" s="1" t="s">
        <v>259</v>
      </c>
      <c r="B83" t="s">
        <v>260</v>
      </c>
      <c r="C83" s="4" t="s">
        <v>49</v>
      </c>
      <c r="D83" s="4" t="s">
        <v>24</v>
      </c>
      <c r="E83" s="4"/>
      <c r="F83" t="s">
        <v>26</v>
      </c>
      <c r="I83" s="5"/>
      <c r="O83" t="s">
        <v>29</v>
      </c>
      <c r="P83" t="s">
        <v>221</v>
      </c>
      <c r="R83" s="2"/>
      <c r="S83" t="s">
        <v>59</v>
      </c>
      <c r="T83">
        <v>68737291</v>
      </c>
      <c r="U83">
        <v>68835537</v>
      </c>
      <c r="V83" s="3">
        <f t="shared" si="1"/>
        <v>98247</v>
      </c>
      <c r="W83" t="s">
        <v>33</v>
      </c>
    </row>
    <row r="84" spans="1:23">
      <c r="A84" s="1" t="s">
        <v>261</v>
      </c>
      <c r="B84" t="s">
        <v>262</v>
      </c>
      <c r="C84" s="4" t="s">
        <v>49</v>
      </c>
      <c r="D84" s="4" t="s">
        <v>24</v>
      </c>
      <c r="E84" s="4"/>
      <c r="F84" t="s">
        <v>26</v>
      </c>
      <c r="I84" s="5"/>
      <c r="O84" t="s">
        <v>29</v>
      </c>
      <c r="P84" t="s">
        <v>221</v>
      </c>
      <c r="R84" s="2"/>
      <c r="S84" t="s">
        <v>59</v>
      </c>
      <c r="T84">
        <v>81739096</v>
      </c>
      <c r="U84">
        <v>81962685</v>
      </c>
      <c r="V84" s="3">
        <f t="shared" si="1"/>
        <v>223590</v>
      </c>
      <c r="W84" t="s">
        <v>33</v>
      </c>
    </row>
    <row r="85" spans="1:23">
      <c r="A85" s="1" t="s">
        <v>263</v>
      </c>
      <c r="B85" t="s">
        <v>264</v>
      </c>
      <c r="C85" s="4" t="s">
        <v>49</v>
      </c>
      <c r="D85" s="4" t="s">
        <v>24</v>
      </c>
      <c r="E85" s="4"/>
      <c r="F85" t="s">
        <v>26</v>
      </c>
      <c r="I85" s="5"/>
      <c r="O85" t="s">
        <v>29</v>
      </c>
      <c r="P85" t="s">
        <v>221</v>
      </c>
      <c r="R85" s="2"/>
      <c r="S85" t="s">
        <v>46</v>
      </c>
      <c r="T85">
        <v>31094926</v>
      </c>
      <c r="U85">
        <v>31382116</v>
      </c>
      <c r="V85" s="3">
        <f t="shared" si="1"/>
        <v>287191</v>
      </c>
      <c r="W85" t="s">
        <v>33</v>
      </c>
    </row>
    <row r="86" spans="1:23">
      <c r="A86" s="1" t="s">
        <v>265</v>
      </c>
      <c r="B86" t="s">
        <v>266</v>
      </c>
      <c r="C86" s="4" t="s">
        <v>49</v>
      </c>
      <c r="D86" s="4" t="s">
        <v>24</v>
      </c>
      <c r="E86" s="4"/>
      <c r="F86" t="s">
        <v>26</v>
      </c>
      <c r="I86" s="5"/>
      <c r="O86" t="s">
        <v>29</v>
      </c>
      <c r="P86" t="s">
        <v>221</v>
      </c>
      <c r="R86" s="2"/>
      <c r="S86" t="s">
        <v>46</v>
      </c>
      <c r="T86">
        <v>35092220</v>
      </c>
      <c r="U86">
        <v>35121522</v>
      </c>
      <c r="V86" s="3">
        <f t="shared" si="1"/>
        <v>29303</v>
      </c>
      <c r="W86" t="s">
        <v>38</v>
      </c>
    </row>
    <row r="87" spans="1:23">
      <c r="A87" s="1" t="s">
        <v>267</v>
      </c>
      <c r="B87" t="s">
        <v>268</v>
      </c>
      <c r="C87" s="4" t="s">
        <v>49</v>
      </c>
      <c r="D87" s="4" t="s">
        <v>24</v>
      </c>
      <c r="E87" s="4"/>
      <c r="F87" t="s">
        <v>26</v>
      </c>
      <c r="I87" s="5"/>
      <c r="O87" t="s">
        <v>29</v>
      </c>
      <c r="P87" t="s">
        <v>221</v>
      </c>
      <c r="R87" s="2"/>
      <c r="S87" t="s">
        <v>46</v>
      </c>
      <c r="T87">
        <v>42199176</v>
      </c>
      <c r="U87">
        <v>42276707</v>
      </c>
      <c r="V87" s="3">
        <f t="shared" si="1"/>
        <v>77532</v>
      </c>
      <c r="W87" t="s">
        <v>38</v>
      </c>
    </row>
    <row r="88" spans="1:23">
      <c r="A88" s="1" t="s">
        <v>269</v>
      </c>
      <c r="B88" t="s">
        <v>270</v>
      </c>
      <c r="C88" s="4" t="s">
        <v>49</v>
      </c>
      <c r="D88" s="4" t="s">
        <v>24</v>
      </c>
      <c r="E88" s="4"/>
      <c r="F88" t="s">
        <v>26</v>
      </c>
      <c r="I88" s="5"/>
      <c r="O88" t="s">
        <v>29</v>
      </c>
      <c r="P88" t="s">
        <v>221</v>
      </c>
      <c r="R88" s="2"/>
      <c r="S88" t="s">
        <v>46</v>
      </c>
      <c r="T88">
        <v>42313323</v>
      </c>
      <c r="U88">
        <v>42388540</v>
      </c>
      <c r="V88" s="3">
        <f t="shared" si="1"/>
        <v>75218</v>
      </c>
      <c r="W88" t="s">
        <v>38</v>
      </c>
    </row>
    <row r="89" spans="1:23">
      <c r="A89" s="1" t="s">
        <v>271</v>
      </c>
      <c r="B89" t="s">
        <v>272</v>
      </c>
      <c r="C89" s="4" t="s">
        <v>49</v>
      </c>
      <c r="D89" s="4" t="s">
        <v>24</v>
      </c>
      <c r="E89" s="4"/>
      <c r="F89" t="s">
        <v>26</v>
      </c>
      <c r="I89" s="5"/>
      <c r="O89" t="s">
        <v>29</v>
      </c>
      <c r="P89" t="s">
        <v>221</v>
      </c>
      <c r="R89" s="2"/>
      <c r="S89" t="s">
        <v>46</v>
      </c>
      <c r="T89">
        <v>48528525</v>
      </c>
      <c r="U89">
        <v>48531011</v>
      </c>
      <c r="V89" s="3">
        <f t="shared" si="1"/>
        <v>2487</v>
      </c>
      <c r="W89" t="s">
        <v>38</v>
      </c>
    </row>
    <row r="90" spans="1:23">
      <c r="A90" s="1" t="s">
        <v>273</v>
      </c>
      <c r="B90" t="s">
        <v>274</v>
      </c>
      <c r="C90" s="4" t="s">
        <v>49</v>
      </c>
      <c r="D90" s="4" t="s">
        <v>24</v>
      </c>
      <c r="E90" s="4"/>
      <c r="F90" t="s">
        <v>26</v>
      </c>
      <c r="I90" s="5"/>
      <c r="O90" t="s">
        <v>29</v>
      </c>
      <c r="P90" t="s">
        <v>221</v>
      </c>
      <c r="R90" s="2"/>
      <c r="S90" t="s">
        <v>46</v>
      </c>
      <c r="T90">
        <v>58353675</v>
      </c>
      <c r="U90">
        <v>58417595</v>
      </c>
      <c r="V90" s="3">
        <f t="shared" si="1"/>
        <v>63921</v>
      </c>
      <c r="W90" t="s">
        <v>38</v>
      </c>
    </row>
    <row r="91" spans="1:23">
      <c r="A91" s="1" t="s">
        <v>275</v>
      </c>
      <c r="B91" t="s">
        <v>276</v>
      </c>
      <c r="C91" s="4" t="s">
        <v>49</v>
      </c>
      <c r="D91" s="4" t="s">
        <v>24</v>
      </c>
      <c r="E91" s="4"/>
      <c r="F91" t="s">
        <v>26</v>
      </c>
      <c r="I91" s="5"/>
      <c r="O91" t="s">
        <v>29</v>
      </c>
      <c r="P91" t="s">
        <v>221</v>
      </c>
      <c r="R91" s="2"/>
      <c r="S91" t="s">
        <v>46</v>
      </c>
      <c r="T91">
        <v>58692572</v>
      </c>
      <c r="U91">
        <v>58735611</v>
      </c>
      <c r="V91" s="3">
        <f t="shared" si="1"/>
        <v>43040</v>
      </c>
      <c r="W91" t="s">
        <v>33</v>
      </c>
    </row>
    <row r="92" spans="1:23">
      <c r="A92" s="1" t="s">
        <v>277</v>
      </c>
      <c r="B92" t="s">
        <v>278</v>
      </c>
      <c r="C92" s="4" t="s">
        <v>49</v>
      </c>
      <c r="D92" s="4" t="s">
        <v>24</v>
      </c>
      <c r="E92" s="4"/>
      <c r="F92" t="s">
        <v>26</v>
      </c>
      <c r="I92" s="5"/>
      <c r="O92" t="s">
        <v>29</v>
      </c>
      <c r="P92" t="s">
        <v>221</v>
      </c>
      <c r="R92" s="2"/>
      <c r="S92" t="s">
        <v>46</v>
      </c>
      <c r="T92">
        <v>61679138</v>
      </c>
      <c r="U92">
        <v>61863559</v>
      </c>
      <c r="V92" s="3">
        <f t="shared" si="1"/>
        <v>184422</v>
      </c>
      <c r="W92" t="s">
        <v>38</v>
      </c>
    </row>
    <row r="93" spans="1:23">
      <c r="A93" s="1" t="s">
        <v>279</v>
      </c>
      <c r="B93" t="s">
        <v>280</v>
      </c>
      <c r="C93" s="4" t="s">
        <v>49</v>
      </c>
      <c r="D93" s="4" t="s">
        <v>24</v>
      </c>
      <c r="E93" s="4"/>
      <c r="F93" t="s">
        <v>26</v>
      </c>
      <c r="I93" s="5"/>
      <c r="O93" t="s">
        <v>29</v>
      </c>
      <c r="P93" t="s">
        <v>221</v>
      </c>
      <c r="R93" s="2"/>
      <c r="S93" t="s">
        <v>46</v>
      </c>
      <c r="T93">
        <v>63928739</v>
      </c>
      <c r="U93">
        <v>63932336</v>
      </c>
      <c r="V93" s="3">
        <f t="shared" si="1"/>
        <v>3598</v>
      </c>
      <c r="W93" t="s">
        <v>38</v>
      </c>
    </row>
    <row r="94" spans="1:23">
      <c r="A94" s="1" t="s">
        <v>281</v>
      </c>
      <c r="B94" t="s">
        <v>282</v>
      </c>
      <c r="C94" s="4" t="s">
        <v>49</v>
      </c>
      <c r="D94" s="4" t="s">
        <v>24</v>
      </c>
      <c r="E94" s="4"/>
      <c r="F94" t="s">
        <v>26</v>
      </c>
      <c r="I94" s="5"/>
      <c r="O94" t="s">
        <v>29</v>
      </c>
      <c r="P94" t="s">
        <v>221</v>
      </c>
      <c r="R94" s="2"/>
      <c r="S94" t="s">
        <v>46</v>
      </c>
      <c r="T94">
        <v>76734114</v>
      </c>
      <c r="U94">
        <v>76737333</v>
      </c>
      <c r="V94" s="3">
        <f t="shared" si="1"/>
        <v>3220</v>
      </c>
      <c r="W94" t="s">
        <v>38</v>
      </c>
    </row>
    <row r="95" spans="1:23">
      <c r="A95" s="1" t="s">
        <v>283</v>
      </c>
      <c r="B95" t="s">
        <v>284</v>
      </c>
      <c r="C95" s="4" t="s">
        <v>49</v>
      </c>
      <c r="D95" s="4" t="s">
        <v>24</v>
      </c>
      <c r="E95" s="4"/>
      <c r="F95" t="s">
        <v>26</v>
      </c>
      <c r="I95" s="5"/>
      <c r="O95" t="s">
        <v>29</v>
      </c>
      <c r="P95" t="s">
        <v>256</v>
      </c>
      <c r="R95" s="2"/>
      <c r="S95" t="s">
        <v>181</v>
      </c>
      <c r="T95">
        <v>44676926</v>
      </c>
      <c r="U95">
        <v>44679717</v>
      </c>
      <c r="V95" s="3">
        <f t="shared" si="1"/>
        <v>2792</v>
      </c>
      <c r="W95" t="s">
        <v>38</v>
      </c>
    </row>
    <row r="96" spans="1:23">
      <c r="A96" s="1" t="s">
        <v>285</v>
      </c>
      <c r="B96" t="s">
        <v>286</v>
      </c>
      <c r="C96" s="4" t="s">
        <v>49</v>
      </c>
      <c r="D96" s="4" t="s">
        <v>24</v>
      </c>
      <c r="E96" s="4"/>
      <c r="F96" t="s">
        <v>26</v>
      </c>
      <c r="I96" s="5"/>
      <c r="O96" t="s">
        <v>29</v>
      </c>
      <c r="P96" t="s">
        <v>221</v>
      </c>
      <c r="R96" s="2"/>
      <c r="S96" t="s">
        <v>181</v>
      </c>
      <c r="T96">
        <v>44680172</v>
      </c>
      <c r="U96">
        <v>45068510</v>
      </c>
      <c r="V96" s="3">
        <f t="shared" si="1"/>
        <v>388339</v>
      </c>
      <c r="W96" t="s">
        <v>33</v>
      </c>
    </row>
    <row r="97" spans="1:23">
      <c r="A97" s="1" t="s">
        <v>287</v>
      </c>
      <c r="B97" t="s">
        <v>288</v>
      </c>
      <c r="C97" s="4" t="s">
        <v>49</v>
      </c>
      <c r="D97" s="4" t="s">
        <v>24</v>
      </c>
      <c r="E97" s="4"/>
      <c r="F97" t="s">
        <v>26</v>
      </c>
      <c r="I97" s="5"/>
      <c r="O97" t="s">
        <v>29</v>
      </c>
      <c r="P97" t="s">
        <v>221</v>
      </c>
      <c r="R97" s="2"/>
      <c r="S97" t="s">
        <v>181</v>
      </c>
      <c r="T97">
        <v>51028393</v>
      </c>
      <c r="U97">
        <v>51085045</v>
      </c>
      <c r="V97" s="3">
        <f t="shared" si="1"/>
        <v>56653</v>
      </c>
      <c r="W97" t="s">
        <v>33</v>
      </c>
    </row>
    <row r="98" spans="1:23">
      <c r="A98" s="1" t="s">
        <v>289</v>
      </c>
      <c r="B98" t="s">
        <v>290</v>
      </c>
      <c r="C98" s="4" t="s">
        <v>49</v>
      </c>
      <c r="D98" s="4" t="s">
        <v>24</v>
      </c>
      <c r="E98" s="4"/>
      <c r="F98" t="s">
        <v>26</v>
      </c>
      <c r="I98" s="5"/>
      <c r="O98" t="s">
        <v>29</v>
      </c>
      <c r="P98" t="s">
        <v>221</v>
      </c>
      <c r="R98" s="2"/>
      <c r="S98" t="s">
        <v>291</v>
      </c>
      <c r="T98">
        <v>1177557</v>
      </c>
      <c r="U98">
        <v>1228431</v>
      </c>
      <c r="V98" s="3">
        <f t="shared" si="1"/>
        <v>50875</v>
      </c>
      <c r="W98" t="s">
        <v>33</v>
      </c>
    </row>
    <row r="99" spans="1:23">
      <c r="A99" s="1" t="s">
        <v>292</v>
      </c>
      <c r="B99" t="s">
        <v>293</v>
      </c>
      <c r="C99" s="4" t="s">
        <v>49</v>
      </c>
      <c r="D99" s="4" t="s">
        <v>24</v>
      </c>
      <c r="E99" s="4"/>
      <c r="F99" t="s">
        <v>26</v>
      </c>
      <c r="I99" s="5"/>
      <c r="O99" t="s">
        <v>29</v>
      </c>
      <c r="P99" t="s">
        <v>221</v>
      </c>
      <c r="R99" s="2"/>
      <c r="S99" t="s">
        <v>291</v>
      </c>
      <c r="T99">
        <v>12938577</v>
      </c>
      <c r="U99">
        <v>12944489</v>
      </c>
      <c r="V99" s="3">
        <f t="shared" si="1"/>
        <v>5913</v>
      </c>
      <c r="W99" t="s">
        <v>33</v>
      </c>
    </row>
    <row r="100" spans="1:23">
      <c r="A100" s="1" t="s">
        <v>294</v>
      </c>
      <c r="B100" t="s">
        <v>295</v>
      </c>
      <c r="C100" s="4" t="s">
        <v>49</v>
      </c>
      <c r="D100" s="4" t="s">
        <v>24</v>
      </c>
      <c r="E100" s="4"/>
      <c r="F100" t="s">
        <v>26</v>
      </c>
      <c r="I100" s="5"/>
      <c r="O100" t="s">
        <v>29</v>
      </c>
      <c r="P100" t="s">
        <v>221</v>
      </c>
      <c r="R100" s="2"/>
      <c r="S100" t="s">
        <v>291</v>
      </c>
      <c r="T100">
        <v>17824779</v>
      </c>
      <c r="U100">
        <v>17848071</v>
      </c>
      <c r="V100" s="3">
        <f t="shared" si="1"/>
        <v>23293</v>
      </c>
      <c r="W100" t="s">
        <v>38</v>
      </c>
    </row>
    <row r="101" spans="1:23">
      <c r="A101" s="1" t="s">
        <v>296</v>
      </c>
      <c r="B101" t="s">
        <v>297</v>
      </c>
      <c r="C101" s="4" t="s">
        <v>49</v>
      </c>
      <c r="D101" s="4" t="s">
        <v>24</v>
      </c>
      <c r="E101" s="4"/>
      <c r="F101" t="s">
        <v>26</v>
      </c>
      <c r="I101" s="5"/>
      <c r="O101" t="s">
        <v>29</v>
      </c>
      <c r="P101" s="6" t="s">
        <v>221</v>
      </c>
      <c r="R101" s="2"/>
      <c r="S101" s="6" t="s">
        <v>291</v>
      </c>
      <c r="T101" s="6">
        <v>41877278</v>
      </c>
      <c r="U101" s="6">
        <v>41881372</v>
      </c>
      <c r="V101" s="3">
        <f t="shared" si="1"/>
        <v>4095</v>
      </c>
      <c r="W101" t="s">
        <v>33</v>
      </c>
    </row>
    <row r="102" spans="1:23">
      <c r="A102" s="1" t="s">
        <v>298</v>
      </c>
      <c r="B102" t="s">
        <v>299</v>
      </c>
      <c r="C102" s="4" t="s">
        <v>49</v>
      </c>
      <c r="D102" s="4" t="s">
        <v>24</v>
      </c>
      <c r="E102" s="4"/>
      <c r="F102" t="s">
        <v>26</v>
      </c>
      <c r="I102" s="5"/>
      <c r="O102" t="s">
        <v>29</v>
      </c>
      <c r="P102" t="s">
        <v>221</v>
      </c>
      <c r="R102" s="2"/>
      <c r="S102" t="s">
        <v>291</v>
      </c>
      <c r="T102">
        <v>50384203</v>
      </c>
      <c r="U102">
        <v>50418018</v>
      </c>
      <c r="V102" s="3">
        <f t="shared" si="1"/>
        <v>33816</v>
      </c>
      <c r="W102" t="s">
        <v>33</v>
      </c>
    </row>
    <row r="103" spans="1:23">
      <c r="A103" s="1" t="s">
        <v>300</v>
      </c>
      <c r="B103" s="6" t="s">
        <v>301</v>
      </c>
      <c r="C103" s="4" t="s">
        <v>49</v>
      </c>
      <c r="D103" s="4" t="s">
        <v>24</v>
      </c>
      <c r="E103" s="4"/>
      <c r="F103" t="s">
        <v>26</v>
      </c>
      <c r="I103" s="5"/>
      <c r="O103" t="s">
        <v>29</v>
      </c>
      <c r="P103" t="s">
        <v>221</v>
      </c>
      <c r="R103" s="2"/>
      <c r="S103" s="6" t="s">
        <v>291</v>
      </c>
      <c r="T103" s="7">
        <v>33299934</v>
      </c>
      <c r="U103" s="7">
        <v>33302534</v>
      </c>
      <c r="V103" s="3">
        <f t="shared" si="1"/>
        <v>2601</v>
      </c>
      <c r="W103" t="s">
        <v>38</v>
      </c>
    </row>
    <row r="104" spans="1:23">
      <c r="A104" s="1" t="s">
        <v>302</v>
      </c>
      <c r="B104" t="s">
        <v>303</v>
      </c>
      <c r="C104" s="4" t="s">
        <v>49</v>
      </c>
      <c r="D104" s="4" t="s">
        <v>24</v>
      </c>
      <c r="E104" s="4"/>
      <c r="F104" t="s">
        <v>26</v>
      </c>
      <c r="I104" s="5"/>
      <c r="O104" t="s">
        <v>29</v>
      </c>
      <c r="P104" t="s">
        <v>221</v>
      </c>
      <c r="R104" s="2"/>
      <c r="S104" t="s">
        <v>56</v>
      </c>
      <c r="T104">
        <v>25227854</v>
      </c>
      <c r="U104">
        <v>25342590</v>
      </c>
      <c r="V104" s="3">
        <f t="shared" si="1"/>
        <v>114737</v>
      </c>
      <c r="W104" t="s">
        <v>38</v>
      </c>
    </row>
    <row r="105" spans="1:23">
      <c r="A105" s="1" t="s">
        <v>304</v>
      </c>
      <c r="B105" t="s">
        <v>305</v>
      </c>
      <c r="C105" s="4" t="s">
        <v>49</v>
      </c>
      <c r="D105" s="4" t="s">
        <v>24</v>
      </c>
      <c r="E105" s="4"/>
      <c r="F105" t="s">
        <v>26</v>
      </c>
      <c r="I105" s="5"/>
      <c r="O105" t="s">
        <v>29</v>
      </c>
      <c r="P105" t="s">
        <v>256</v>
      </c>
      <c r="R105" s="2"/>
      <c r="S105" t="s">
        <v>56</v>
      </c>
      <c r="T105">
        <v>47192404</v>
      </c>
      <c r="U105">
        <v>47345074</v>
      </c>
      <c r="V105" s="3">
        <f t="shared" si="1"/>
        <v>152671</v>
      </c>
      <c r="W105" t="s">
        <v>38</v>
      </c>
    </row>
    <row r="106" spans="1:23">
      <c r="A106" s="1" t="s">
        <v>306</v>
      </c>
      <c r="B106" t="s">
        <v>307</v>
      </c>
      <c r="C106" s="4" t="s">
        <v>49</v>
      </c>
      <c r="D106" s="4" t="s">
        <v>24</v>
      </c>
      <c r="E106" s="4"/>
      <c r="F106" t="s">
        <v>26</v>
      </c>
      <c r="I106" s="5"/>
      <c r="O106" t="s">
        <v>29</v>
      </c>
      <c r="P106" t="s">
        <v>221</v>
      </c>
      <c r="R106" s="2"/>
      <c r="S106" t="s">
        <v>56</v>
      </c>
      <c r="T106">
        <v>47345157</v>
      </c>
      <c r="U106">
        <v>47387601</v>
      </c>
      <c r="V106" s="3">
        <f t="shared" si="1"/>
        <v>42445</v>
      </c>
      <c r="W106" t="s">
        <v>33</v>
      </c>
    </row>
    <row r="107" spans="1:23">
      <c r="A107" s="1" t="s">
        <v>308</v>
      </c>
      <c r="B107" t="s">
        <v>309</v>
      </c>
      <c r="C107" s="4" t="s">
        <v>49</v>
      </c>
      <c r="D107" s="4" t="s">
        <v>24</v>
      </c>
      <c r="E107" s="4"/>
      <c r="F107" t="s">
        <v>26</v>
      </c>
      <c r="I107" s="5"/>
      <c r="O107" t="s">
        <v>29</v>
      </c>
      <c r="P107" t="s">
        <v>221</v>
      </c>
      <c r="R107" s="2"/>
      <c r="S107" t="s">
        <v>56</v>
      </c>
      <c r="T107">
        <v>47403066</v>
      </c>
      <c r="U107">
        <v>47663146</v>
      </c>
      <c r="V107" s="3">
        <f t="shared" si="1"/>
        <v>260081</v>
      </c>
      <c r="W107" t="s">
        <v>33</v>
      </c>
    </row>
    <row r="108" spans="1:23">
      <c r="A108" s="1" t="s">
        <v>310</v>
      </c>
      <c r="B108" t="s">
        <v>311</v>
      </c>
      <c r="C108" s="4" t="s">
        <v>49</v>
      </c>
      <c r="D108" s="4" t="s">
        <v>24</v>
      </c>
      <c r="E108" s="4"/>
      <c r="F108" t="s">
        <v>26</v>
      </c>
      <c r="I108" s="5"/>
      <c r="O108" t="s">
        <v>29</v>
      </c>
      <c r="P108" t="s">
        <v>256</v>
      </c>
      <c r="R108" s="2"/>
      <c r="S108" t="s">
        <v>56</v>
      </c>
      <c r="T108">
        <v>47527007</v>
      </c>
      <c r="U108">
        <v>47535199</v>
      </c>
      <c r="V108" s="3">
        <f t="shared" si="1"/>
        <v>8193</v>
      </c>
      <c r="W108" t="s">
        <v>33</v>
      </c>
    </row>
    <row r="109" spans="1:23">
      <c r="A109" s="1" t="s">
        <v>312</v>
      </c>
      <c r="B109" t="s">
        <v>313</v>
      </c>
      <c r="C109" s="4" t="s">
        <v>49</v>
      </c>
      <c r="D109" s="4" t="s">
        <v>24</v>
      </c>
      <c r="E109" s="4"/>
      <c r="F109" t="s">
        <v>26</v>
      </c>
      <c r="I109" s="5"/>
      <c r="O109" t="s">
        <v>29</v>
      </c>
      <c r="P109" t="s">
        <v>221</v>
      </c>
      <c r="R109" s="2"/>
      <c r="S109" t="s">
        <v>56</v>
      </c>
      <c r="T109">
        <v>47695529</v>
      </c>
      <c r="U109">
        <v>47810063</v>
      </c>
      <c r="V109" s="3">
        <f t="shared" si="1"/>
        <v>114535</v>
      </c>
      <c r="W109" t="s">
        <v>33</v>
      </c>
    </row>
    <row r="110" spans="1:23">
      <c r="A110" s="1" t="s">
        <v>314</v>
      </c>
      <c r="B110" t="s">
        <v>315</v>
      </c>
      <c r="C110" s="4" t="s">
        <v>49</v>
      </c>
      <c r="D110" s="4" t="s">
        <v>24</v>
      </c>
      <c r="E110" s="4"/>
      <c r="F110" t="s">
        <v>26</v>
      </c>
      <c r="I110" s="5"/>
      <c r="O110" t="s">
        <v>29</v>
      </c>
      <c r="P110" t="s">
        <v>221</v>
      </c>
      <c r="R110" s="2"/>
      <c r="S110" t="s">
        <v>56</v>
      </c>
      <c r="T110">
        <v>136114348</v>
      </c>
      <c r="U110">
        <v>136118149</v>
      </c>
      <c r="V110" s="3">
        <f t="shared" si="1"/>
        <v>3802</v>
      </c>
      <c r="W110" t="s">
        <v>38</v>
      </c>
    </row>
    <row r="111" spans="1:23">
      <c r="A111" s="1" t="s">
        <v>316</v>
      </c>
      <c r="B111" t="s">
        <v>317</v>
      </c>
      <c r="C111" s="4" t="s">
        <v>49</v>
      </c>
      <c r="D111" s="4" t="s">
        <v>24</v>
      </c>
      <c r="E111" s="4"/>
      <c r="F111" t="s">
        <v>26</v>
      </c>
      <c r="I111" s="5"/>
      <c r="O111" t="s">
        <v>29</v>
      </c>
      <c r="P111" t="s">
        <v>221</v>
      </c>
      <c r="R111" s="2"/>
      <c r="S111" t="s">
        <v>56</v>
      </c>
      <c r="T111">
        <v>197388514</v>
      </c>
      <c r="U111">
        <v>197435079</v>
      </c>
      <c r="V111" s="3">
        <f t="shared" si="1"/>
        <v>46566</v>
      </c>
      <c r="W111" t="s">
        <v>38</v>
      </c>
    </row>
    <row r="112" spans="1:23">
      <c r="A112" s="1" t="s">
        <v>318</v>
      </c>
      <c r="B112" t="s">
        <v>319</v>
      </c>
      <c r="C112" s="4" t="s">
        <v>49</v>
      </c>
      <c r="D112" s="4" t="s">
        <v>24</v>
      </c>
      <c r="E112" s="4"/>
      <c r="F112" t="s">
        <v>26</v>
      </c>
      <c r="I112" s="5"/>
      <c r="O112" t="s">
        <v>29</v>
      </c>
      <c r="P112" t="s">
        <v>221</v>
      </c>
      <c r="R112" s="2"/>
      <c r="S112" t="s">
        <v>56</v>
      </c>
      <c r="T112">
        <v>208236228</v>
      </c>
      <c r="U112">
        <v>208266074</v>
      </c>
      <c r="V112" s="3">
        <f t="shared" si="1"/>
        <v>29847</v>
      </c>
      <c r="W112" t="s">
        <v>38</v>
      </c>
    </row>
    <row r="113" spans="1:23">
      <c r="A113" s="1" t="s">
        <v>320</v>
      </c>
      <c r="B113" t="s">
        <v>321</v>
      </c>
      <c r="C113" s="4" t="s">
        <v>49</v>
      </c>
      <c r="D113" s="4" t="s">
        <v>24</v>
      </c>
      <c r="E113" s="4"/>
      <c r="F113" t="s">
        <v>26</v>
      </c>
      <c r="I113" s="5"/>
      <c r="O113" t="s">
        <v>29</v>
      </c>
      <c r="P113" t="s">
        <v>256</v>
      </c>
      <c r="R113" s="2"/>
      <c r="S113" t="s">
        <v>56</v>
      </c>
      <c r="T113">
        <v>208255246</v>
      </c>
      <c r="U113">
        <v>208256181</v>
      </c>
      <c r="V113" s="3">
        <f t="shared" si="1"/>
        <v>936</v>
      </c>
      <c r="W113" t="s">
        <v>33</v>
      </c>
    </row>
    <row r="114" spans="1:23">
      <c r="A114" s="1" t="s">
        <v>322</v>
      </c>
      <c r="B114" t="s">
        <v>323</v>
      </c>
      <c r="C114" s="4" t="s">
        <v>49</v>
      </c>
      <c r="D114" s="4" t="s">
        <v>24</v>
      </c>
      <c r="E114" s="4"/>
      <c r="F114" t="s">
        <v>26</v>
      </c>
      <c r="I114" s="5"/>
      <c r="O114" t="s">
        <v>29</v>
      </c>
      <c r="P114" t="s">
        <v>221</v>
      </c>
      <c r="R114" s="2"/>
      <c r="S114" t="s">
        <v>172</v>
      </c>
      <c r="T114">
        <v>32358329</v>
      </c>
      <c r="U114">
        <v>32439319</v>
      </c>
      <c r="V114" s="3">
        <f t="shared" si="1"/>
        <v>80991</v>
      </c>
      <c r="W114" t="s">
        <v>33</v>
      </c>
    </row>
    <row r="115" spans="1:23">
      <c r="A115" s="1" t="s">
        <v>324</v>
      </c>
      <c r="B115" t="s">
        <v>325</v>
      </c>
      <c r="C115" s="4" t="s">
        <v>49</v>
      </c>
      <c r="D115" s="4" t="s">
        <v>24</v>
      </c>
      <c r="E115" s="4"/>
      <c r="F115" t="s">
        <v>26</v>
      </c>
      <c r="I115" s="5"/>
      <c r="O115" t="s">
        <v>29</v>
      </c>
      <c r="P115" t="s">
        <v>221</v>
      </c>
      <c r="R115" s="2"/>
      <c r="S115" t="s">
        <v>326</v>
      </c>
      <c r="T115">
        <v>34787800</v>
      </c>
      <c r="U115">
        <v>36004667</v>
      </c>
      <c r="V115" s="3">
        <f t="shared" si="1"/>
        <v>1216868</v>
      </c>
      <c r="W115" t="s">
        <v>38</v>
      </c>
    </row>
    <row r="116" spans="1:23">
      <c r="A116" s="1" t="s">
        <v>327</v>
      </c>
      <c r="B116" t="s">
        <v>328</v>
      </c>
      <c r="C116" s="4" t="s">
        <v>49</v>
      </c>
      <c r="D116" s="4" t="s">
        <v>24</v>
      </c>
      <c r="E116" s="4"/>
      <c r="F116" t="s">
        <v>26</v>
      </c>
      <c r="I116" s="5"/>
      <c r="O116" t="s">
        <v>29</v>
      </c>
      <c r="P116" t="s">
        <v>221</v>
      </c>
      <c r="R116" s="2"/>
      <c r="S116" t="s">
        <v>326</v>
      </c>
      <c r="T116">
        <v>43092955</v>
      </c>
      <c r="U116">
        <v>43107570</v>
      </c>
      <c r="V116" s="3">
        <f t="shared" si="1"/>
        <v>14616</v>
      </c>
      <c r="W116" t="s">
        <v>38</v>
      </c>
    </row>
    <row r="117" spans="1:23">
      <c r="A117" s="1" t="s">
        <v>329</v>
      </c>
      <c r="B117" t="s">
        <v>330</v>
      </c>
      <c r="C117" s="4" t="s">
        <v>49</v>
      </c>
      <c r="D117" s="4" t="s">
        <v>24</v>
      </c>
      <c r="E117" s="4"/>
      <c r="F117" t="s">
        <v>26</v>
      </c>
      <c r="I117" s="5"/>
      <c r="O117" t="s">
        <v>29</v>
      </c>
      <c r="P117" t="s">
        <v>221</v>
      </c>
      <c r="R117" s="2"/>
      <c r="S117" t="s">
        <v>187</v>
      </c>
      <c r="T117">
        <v>20982268</v>
      </c>
      <c r="U117">
        <v>20999032</v>
      </c>
      <c r="V117" s="3">
        <f t="shared" si="1"/>
        <v>16765</v>
      </c>
      <c r="W117" t="s">
        <v>33</v>
      </c>
    </row>
    <row r="118" spans="1:23">
      <c r="A118" s="1" t="s">
        <v>331</v>
      </c>
      <c r="B118" t="s">
        <v>332</v>
      </c>
      <c r="C118" s="4" t="s">
        <v>49</v>
      </c>
      <c r="D118" s="4" t="s">
        <v>24</v>
      </c>
      <c r="E118" s="4"/>
      <c r="F118" t="s">
        <v>26</v>
      </c>
      <c r="I118" s="5"/>
      <c r="O118" t="s">
        <v>29</v>
      </c>
      <c r="P118" t="s">
        <v>221</v>
      </c>
      <c r="R118" s="2"/>
      <c r="S118" t="s">
        <v>187</v>
      </c>
      <c r="T118">
        <v>23786930</v>
      </c>
      <c r="U118">
        <v>23838009</v>
      </c>
      <c r="V118" s="3">
        <f t="shared" si="1"/>
        <v>51080</v>
      </c>
      <c r="W118" t="s">
        <v>33</v>
      </c>
    </row>
    <row r="119" spans="1:23">
      <c r="A119" s="1" t="s">
        <v>333</v>
      </c>
      <c r="B119" t="s">
        <v>334</v>
      </c>
      <c r="C119" s="4" t="s">
        <v>49</v>
      </c>
      <c r="D119" s="4" t="s">
        <v>24</v>
      </c>
      <c r="E119" s="4"/>
      <c r="F119" t="s">
        <v>26</v>
      </c>
      <c r="I119" s="5"/>
      <c r="O119" t="s">
        <v>29</v>
      </c>
      <c r="P119" t="s">
        <v>221</v>
      </c>
      <c r="R119" s="2"/>
      <c r="S119" t="s">
        <v>187</v>
      </c>
      <c r="T119">
        <v>28687742</v>
      </c>
      <c r="U119">
        <v>28742422</v>
      </c>
      <c r="V119" s="3">
        <f t="shared" si="1"/>
        <v>54681</v>
      </c>
      <c r="W119" t="s">
        <v>38</v>
      </c>
    </row>
    <row r="120" spans="1:23">
      <c r="A120" s="1" t="s">
        <v>335</v>
      </c>
      <c r="B120" t="s">
        <v>336</v>
      </c>
      <c r="C120" s="4" t="s">
        <v>49</v>
      </c>
      <c r="D120" s="4" t="s">
        <v>24</v>
      </c>
      <c r="E120" s="4"/>
      <c r="F120" t="s">
        <v>26</v>
      </c>
      <c r="I120" s="5"/>
      <c r="O120" t="s">
        <v>29</v>
      </c>
      <c r="P120" t="s">
        <v>221</v>
      </c>
      <c r="R120" s="2"/>
      <c r="S120" t="s">
        <v>187</v>
      </c>
      <c r="T120">
        <v>29603555</v>
      </c>
      <c r="U120">
        <v>29698598</v>
      </c>
      <c r="V120" s="3">
        <f t="shared" si="1"/>
        <v>95044</v>
      </c>
      <c r="W120" t="s">
        <v>33</v>
      </c>
    </row>
    <row r="121" spans="1:23">
      <c r="A121" s="1" t="s">
        <v>337</v>
      </c>
      <c r="B121" t="s">
        <v>338</v>
      </c>
      <c r="C121" s="4" t="s">
        <v>49</v>
      </c>
      <c r="D121" s="4" t="s">
        <v>24</v>
      </c>
      <c r="E121" s="4"/>
      <c r="F121" t="s">
        <v>26</v>
      </c>
      <c r="I121" s="5"/>
      <c r="O121" t="s">
        <v>29</v>
      </c>
      <c r="P121" t="s">
        <v>221</v>
      </c>
      <c r="R121" s="2"/>
      <c r="S121" t="s">
        <v>106</v>
      </c>
      <c r="T121">
        <v>36993349</v>
      </c>
      <c r="U121">
        <v>37050846</v>
      </c>
      <c r="V121" s="3">
        <f t="shared" si="1"/>
        <v>57498</v>
      </c>
      <c r="W121" t="s">
        <v>33</v>
      </c>
    </row>
    <row r="122" spans="1:23">
      <c r="A122" s="1" t="s">
        <v>339</v>
      </c>
      <c r="B122" t="s">
        <v>340</v>
      </c>
      <c r="C122" s="4" t="s">
        <v>49</v>
      </c>
      <c r="D122" s="4" t="s">
        <v>24</v>
      </c>
      <c r="E122" s="4"/>
      <c r="F122" t="s">
        <v>26</v>
      </c>
      <c r="I122" s="5"/>
      <c r="O122" t="s">
        <v>29</v>
      </c>
      <c r="P122" t="s">
        <v>221</v>
      </c>
      <c r="R122" s="2"/>
      <c r="S122" t="s">
        <v>106</v>
      </c>
      <c r="T122">
        <v>38138477</v>
      </c>
      <c r="U122">
        <v>38143022</v>
      </c>
      <c r="V122" s="3">
        <f t="shared" si="1"/>
        <v>4546</v>
      </c>
      <c r="W122" t="s">
        <v>33</v>
      </c>
    </row>
    <row r="123" spans="1:23">
      <c r="A123" s="1" t="s">
        <v>341</v>
      </c>
      <c r="B123" t="s">
        <v>342</v>
      </c>
      <c r="C123" s="4" t="s">
        <v>49</v>
      </c>
      <c r="D123" s="4" t="s">
        <v>24</v>
      </c>
      <c r="E123" s="4"/>
      <c r="F123" t="s">
        <v>26</v>
      </c>
      <c r="I123" s="5"/>
      <c r="O123" t="s">
        <v>29</v>
      </c>
      <c r="P123" t="s">
        <v>221</v>
      </c>
      <c r="R123" s="2"/>
      <c r="S123" t="s">
        <v>106</v>
      </c>
      <c r="T123">
        <v>41194740</v>
      </c>
      <c r="U123">
        <v>41260096</v>
      </c>
      <c r="V123" s="3">
        <f t="shared" si="1"/>
        <v>65357</v>
      </c>
      <c r="W123" t="s">
        <v>33</v>
      </c>
    </row>
    <row r="124" spans="1:23">
      <c r="A124" s="1" t="s">
        <v>343</v>
      </c>
      <c r="B124" t="s">
        <v>344</v>
      </c>
      <c r="C124" s="4" t="s">
        <v>49</v>
      </c>
      <c r="D124" s="4" t="s">
        <v>24</v>
      </c>
      <c r="E124" s="4"/>
      <c r="F124" t="s">
        <v>26</v>
      </c>
      <c r="I124" s="5"/>
      <c r="O124" t="s">
        <v>29</v>
      </c>
      <c r="P124" t="s">
        <v>221</v>
      </c>
      <c r="R124" s="2"/>
      <c r="S124" t="s">
        <v>81</v>
      </c>
      <c r="T124">
        <v>54229279</v>
      </c>
      <c r="U124">
        <v>54298245</v>
      </c>
      <c r="V124" s="3">
        <f t="shared" si="1"/>
        <v>68967</v>
      </c>
      <c r="W124" t="s">
        <v>33</v>
      </c>
    </row>
    <row r="125" spans="1:23">
      <c r="A125" s="1" t="s">
        <v>345</v>
      </c>
      <c r="B125" t="s">
        <v>346</v>
      </c>
      <c r="C125" s="4" t="s">
        <v>49</v>
      </c>
      <c r="D125" s="4" t="s">
        <v>24</v>
      </c>
      <c r="E125" s="4"/>
      <c r="F125" t="s">
        <v>26</v>
      </c>
      <c r="I125" s="5"/>
      <c r="O125" t="s">
        <v>29</v>
      </c>
      <c r="P125" t="s">
        <v>221</v>
      </c>
      <c r="R125" s="2"/>
      <c r="S125" t="s">
        <v>81</v>
      </c>
      <c r="T125">
        <v>54657917</v>
      </c>
      <c r="U125">
        <v>54740715</v>
      </c>
      <c r="V125" s="3">
        <f t="shared" si="1"/>
        <v>82799</v>
      </c>
      <c r="W125" t="s">
        <v>33</v>
      </c>
    </row>
    <row r="126" spans="1:23">
      <c r="A126" s="1" t="s">
        <v>347</v>
      </c>
      <c r="B126" t="s">
        <v>348</v>
      </c>
      <c r="C126" s="4" t="s">
        <v>49</v>
      </c>
      <c r="D126" s="4" t="s">
        <v>24</v>
      </c>
      <c r="E126" s="4"/>
      <c r="F126" t="s">
        <v>26</v>
      </c>
      <c r="I126" s="5"/>
      <c r="O126" t="s">
        <v>29</v>
      </c>
      <c r="P126" t="s">
        <v>221</v>
      </c>
      <c r="R126" s="2"/>
      <c r="S126" t="s">
        <v>81</v>
      </c>
      <c r="T126">
        <v>55078480</v>
      </c>
      <c r="U126">
        <v>55125595</v>
      </c>
      <c r="V126" s="3">
        <f t="shared" si="1"/>
        <v>47116</v>
      </c>
      <c r="W126" t="s">
        <v>38</v>
      </c>
    </row>
    <row r="127" spans="1:23">
      <c r="A127" s="1" t="s">
        <v>349</v>
      </c>
      <c r="B127" t="s">
        <v>350</v>
      </c>
      <c r="C127" s="4" t="s">
        <v>49</v>
      </c>
      <c r="D127" s="4" t="s">
        <v>24</v>
      </c>
      <c r="E127" s="4"/>
      <c r="F127" t="s">
        <v>26</v>
      </c>
      <c r="I127" s="5"/>
      <c r="O127" t="s">
        <v>29</v>
      </c>
      <c r="P127" t="s">
        <v>221</v>
      </c>
      <c r="R127" s="2"/>
      <c r="S127" t="s">
        <v>81</v>
      </c>
      <c r="T127">
        <v>105145874</v>
      </c>
      <c r="U127">
        <v>105279816</v>
      </c>
      <c r="V127" s="3">
        <f t="shared" si="1"/>
        <v>133943</v>
      </c>
      <c r="W127" t="s">
        <v>33</v>
      </c>
    </row>
    <row r="128" spans="1:23">
      <c r="A128" s="1" t="s">
        <v>351</v>
      </c>
      <c r="B128" t="s">
        <v>352</v>
      </c>
      <c r="C128" s="4" t="s">
        <v>49</v>
      </c>
      <c r="D128" s="4" t="s">
        <v>24</v>
      </c>
      <c r="E128" s="4"/>
      <c r="F128" t="s">
        <v>26</v>
      </c>
      <c r="I128" s="5"/>
      <c r="O128" t="s">
        <v>29</v>
      </c>
      <c r="P128" t="s">
        <v>256</v>
      </c>
      <c r="R128" s="2"/>
      <c r="S128" t="s">
        <v>81</v>
      </c>
      <c r="T128">
        <v>105171353</v>
      </c>
      <c r="U128">
        <v>105178063</v>
      </c>
      <c r="V128" s="3">
        <f t="shared" ref="V128:V166" si="2">U128-(T128-1)</f>
        <v>6711</v>
      </c>
      <c r="W128" t="s">
        <v>38</v>
      </c>
    </row>
    <row r="129" spans="1:23">
      <c r="A129" s="1" t="s">
        <v>353</v>
      </c>
      <c r="B129" t="s">
        <v>354</v>
      </c>
      <c r="C129" s="4" t="s">
        <v>49</v>
      </c>
      <c r="D129" s="4" t="s">
        <v>24</v>
      </c>
      <c r="E129" s="4"/>
      <c r="F129" t="s">
        <v>26</v>
      </c>
      <c r="I129" s="5"/>
      <c r="O129" t="s">
        <v>29</v>
      </c>
      <c r="P129" t="s">
        <v>221</v>
      </c>
      <c r="R129" s="2"/>
      <c r="S129" t="s">
        <v>84</v>
      </c>
      <c r="T129">
        <v>1253146</v>
      </c>
      <c r="U129">
        <v>1295068</v>
      </c>
      <c r="V129" s="3">
        <f t="shared" si="2"/>
        <v>41923</v>
      </c>
      <c r="W129" t="s">
        <v>38</v>
      </c>
    </row>
    <row r="130" spans="1:23">
      <c r="A130" s="1" t="s">
        <v>355</v>
      </c>
      <c r="B130" t="s">
        <v>356</v>
      </c>
      <c r="C130" s="4" t="s">
        <v>49</v>
      </c>
      <c r="D130" s="4" t="s">
        <v>24</v>
      </c>
      <c r="E130" s="4"/>
      <c r="F130" t="s">
        <v>26</v>
      </c>
      <c r="I130" s="5"/>
      <c r="O130" t="s">
        <v>29</v>
      </c>
      <c r="P130" t="s">
        <v>221</v>
      </c>
      <c r="R130" s="2"/>
      <c r="S130" t="s">
        <v>84</v>
      </c>
      <c r="T130">
        <v>112707497</v>
      </c>
      <c r="U130">
        <v>112846239</v>
      </c>
      <c r="V130" s="3">
        <f t="shared" si="2"/>
        <v>138743</v>
      </c>
      <c r="W130" t="s">
        <v>33</v>
      </c>
    </row>
    <row r="131" spans="1:23">
      <c r="A131" s="1" t="s">
        <v>357</v>
      </c>
      <c r="B131" t="s">
        <v>358</v>
      </c>
      <c r="C131" s="4" t="s">
        <v>49</v>
      </c>
      <c r="D131" s="4" t="s">
        <v>24</v>
      </c>
      <c r="E131" s="4"/>
      <c r="F131" t="s">
        <v>26</v>
      </c>
      <c r="I131" s="5"/>
      <c r="O131" t="s">
        <v>29</v>
      </c>
      <c r="P131" t="s">
        <v>221</v>
      </c>
      <c r="R131" s="2"/>
      <c r="S131" t="s">
        <v>84</v>
      </c>
      <c r="T131">
        <v>150113838</v>
      </c>
      <c r="U131">
        <v>150155872</v>
      </c>
      <c r="V131" s="3">
        <f t="shared" si="2"/>
        <v>42035</v>
      </c>
      <c r="W131" t="s">
        <v>38</v>
      </c>
    </row>
    <row r="132" spans="1:23">
      <c r="A132" s="1" t="s">
        <v>359</v>
      </c>
      <c r="B132" t="s">
        <v>360</v>
      </c>
      <c r="C132" s="4" t="s">
        <v>49</v>
      </c>
      <c r="D132" s="4" t="s">
        <v>24</v>
      </c>
      <c r="E132" s="4"/>
      <c r="F132" t="s">
        <v>26</v>
      </c>
      <c r="I132" s="5"/>
      <c r="O132" t="s">
        <v>29</v>
      </c>
      <c r="P132" t="s">
        <v>221</v>
      </c>
      <c r="R132" s="2"/>
      <c r="S132" t="s">
        <v>84</v>
      </c>
      <c r="T132">
        <v>171387115</v>
      </c>
      <c r="U132">
        <v>171411810</v>
      </c>
      <c r="V132" s="3">
        <f t="shared" si="2"/>
        <v>24696</v>
      </c>
      <c r="W132" t="s">
        <v>33</v>
      </c>
    </row>
    <row r="133" spans="1:23">
      <c r="A133" s="1" t="s">
        <v>361</v>
      </c>
      <c r="B133" s="6" t="s">
        <v>362</v>
      </c>
      <c r="C133" s="4" t="s">
        <v>49</v>
      </c>
      <c r="D133" s="4" t="s">
        <v>24</v>
      </c>
      <c r="E133" s="4"/>
      <c r="F133" t="s">
        <v>26</v>
      </c>
      <c r="I133" s="5"/>
      <c r="O133" t="s">
        <v>29</v>
      </c>
      <c r="P133" t="s">
        <v>221</v>
      </c>
      <c r="R133" s="2"/>
      <c r="S133" s="6" t="s">
        <v>84</v>
      </c>
      <c r="T133" s="7">
        <v>177511577</v>
      </c>
      <c r="U133" s="7">
        <v>177516961</v>
      </c>
      <c r="V133" s="3">
        <f t="shared" si="2"/>
        <v>5385</v>
      </c>
      <c r="W133" t="s">
        <v>38</v>
      </c>
    </row>
    <row r="134" spans="1:23">
      <c r="A134" s="1" t="s">
        <v>363</v>
      </c>
      <c r="B134" t="s">
        <v>364</v>
      </c>
      <c r="C134" s="4" t="s">
        <v>49</v>
      </c>
      <c r="D134" s="4" t="s">
        <v>24</v>
      </c>
      <c r="E134" s="4"/>
      <c r="F134" t="s">
        <v>26</v>
      </c>
      <c r="I134" s="5"/>
      <c r="O134" t="s">
        <v>29</v>
      </c>
      <c r="P134" t="s">
        <v>221</v>
      </c>
      <c r="R134" s="2"/>
      <c r="S134" t="s">
        <v>32</v>
      </c>
      <c r="T134">
        <v>117287352</v>
      </c>
      <c r="U134">
        <v>117425942</v>
      </c>
      <c r="V134" s="3">
        <f t="shared" si="2"/>
        <v>138591</v>
      </c>
      <c r="W134" t="s">
        <v>38</v>
      </c>
    </row>
    <row r="135" spans="1:23">
      <c r="A135" s="1" t="s">
        <v>365</v>
      </c>
      <c r="B135" t="s">
        <v>366</v>
      </c>
      <c r="C135" s="4" t="s">
        <v>49</v>
      </c>
      <c r="D135" s="4" t="s">
        <v>24</v>
      </c>
      <c r="E135" s="4"/>
      <c r="F135" t="s">
        <v>26</v>
      </c>
      <c r="I135" s="5"/>
      <c r="O135" t="s">
        <v>29</v>
      </c>
      <c r="P135" t="s">
        <v>221</v>
      </c>
      <c r="R135" s="2"/>
      <c r="S135" t="s">
        <v>202</v>
      </c>
      <c r="T135">
        <v>2906141</v>
      </c>
      <c r="U135">
        <v>3043867</v>
      </c>
      <c r="V135" s="3">
        <f t="shared" si="2"/>
        <v>137727</v>
      </c>
      <c r="W135" t="s">
        <v>38</v>
      </c>
    </row>
    <row r="136" spans="1:23">
      <c r="A136" s="1" t="s">
        <v>367</v>
      </c>
      <c r="B136" t="s">
        <v>368</v>
      </c>
      <c r="C136" s="4" t="s">
        <v>49</v>
      </c>
      <c r="D136" s="4" t="s">
        <v>24</v>
      </c>
      <c r="E136" s="4"/>
      <c r="F136" t="s">
        <v>26</v>
      </c>
      <c r="I136" s="5"/>
      <c r="O136" t="s">
        <v>29</v>
      </c>
      <c r="P136" t="s">
        <v>256</v>
      </c>
      <c r="R136" s="2"/>
      <c r="S136" t="s">
        <v>202</v>
      </c>
      <c r="T136">
        <v>2944034</v>
      </c>
      <c r="U136">
        <v>2947091</v>
      </c>
      <c r="V136" s="3">
        <f t="shared" si="2"/>
        <v>3058</v>
      </c>
      <c r="W136" t="s">
        <v>33</v>
      </c>
    </row>
    <row r="137" spans="1:23">
      <c r="A137" s="1" t="s">
        <v>369</v>
      </c>
      <c r="B137" t="s">
        <v>370</v>
      </c>
      <c r="C137" s="4" t="s">
        <v>49</v>
      </c>
      <c r="D137" s="4" t="s">
        <v>24</v>
      </c>
      <c r="E137" s="4"/>
      <c r="F137" t="s">
        <v>26</v>
      </c>
      <c r="I137" s="5"/>
      <c r="O137" t="s">
        <v>29</v>
      </c>
      <c r="P137" t="s">
        <v>221</v>
      </c>
      <c r="R137" s="2"/>
      <c r="S137" t="s">
        <v>202</v>
      </c>
      <c r="T137">
        <v>5970924</v>
      </c>
      <c r="U137">
        <v>6009106</v>
      </c>
      <c r="V137" s="3">
        <f t="shared" si="2"/>
        <v>38183</v>
      </c>
      <c r="W137" t="s">
        <v>38</v>
      </c>
    </row>
    <row r="138" spans="1:23">
      <c r="A138" s="1" t="s">
        <v>371</v>
      </c>
      <c r="B138" t="s">
        <v>372</v>
      </c>
      <c r="C138" s="4" t="s">
        <v>49</v>
      </c>
      <c r="D138" s="4" t="s">
        <v>24</v>
      </c>
      <c r="E138" s="4"/>
      <c r="F138" t="s">
        <v>26</v>
      </c>
      <c r="I138" s="5"/>
      <c r="O138" t="s">
        <v>29</v>
      </c>
      <c r="P138" t="s">
        <v>221</v>
      </c>
      <c r="R138" s="2"/>
      <c r="S138" t="s">
        <v>202</v>
      </c>
      <c r="T138">
        <v>55019016</v>
      </c>
      <c r="U138">
        <v>55211628</v>
      </c>
      <c r="V138" s="3">
        <f t="shared" si="2"/>
        <v>192613</v>
      </c>
      <c r="W138" t="s">
        <v>33</v>
      </c>
    </row>
    <row r="139" spans="1:23">
      <c r="A139" s="1" t="s">
        <v>373</v>
      </c>
      <c r="B139" t="s">
        <v>374</v>
      </c>
      <c r="C139" s="4" t="s">
        <v>49</v>
      </c>
      <c r="D139" s="4" t="s">
        <v>24</v>
      </c>
      <c r="E139" s="4"/>
      <c r="F139" t="s">
        <v>26</v>
      </c>
      <c r="I139" s="5"/>
      <c r="O139" t="s">
        <v>29</v>
      </c>
      <c r="P139" t="s">
        <v>256</v>
      </c>
      <c r="R139" s="2"/>
      <c r="S139" t="s">
        <v>202</v>
      </c>
      <c r="T139">
        <v>55179749</v>
      </c>
      <c r="U139">
        <v>55188934</v>
      </c>
      <c r="V139" s="3">
        <f t="shared" si="2"/>
        <v>9186</v>
      </c>
      <c r="W139" t="s">
        <v>38</v>
      </c>
    </row>
    <row r="140" spans="1:23">
      <c r="A140" s="1" t="s">
        <v>375</v>
      </c>
      <c r="B140" t="s">
        <v>376</v>
      </c>
      <c r="C140" s="4" t="s">
        <v>49</v>
      </c>
      <c r="D140" s="4" t="s">
        <v>24</v>
      </c>
      <c r="E140" s="4"/>
      <c r="F140" t="s">
        <v>26</v>
      </c>
      <c r="I140" s="5"/>
      <c r="O140" t="s">
        <v>29</v>
      </c>
      <c r="P140" t="s">
        <v>221</v>
      </c>
      <c r="R140" s="2"/>
      <c r="S140" t="s">
        <v>202</v>
      </c>
      <c r="T140">
        <v>116672195</v>
      </c>
      <c r="U140">
        <v>116798377</v>
      </c>
      <c r="V140" s="3">
        <f t="shared" si="2"/>
        <v>126183</v>
      </c>
      <c r="W140" t="s">
        <v>33</v>
      </c>
    </row>
    <row r="141" spans="1:23">
      <c r="A141" s="1" t="s">
        <v>377</v>
      </c>
      <c r="B141" t="s">
        <v>378</v>
      </c>
      <c r="C141" s="4" t="s">
        <v>49</v>
      </c>
      <c r="D141" s="4" t="s">
        <v>24</v>
      </c>
      <c r="E141" s="4"/>
      <c r="F141" t="s">
        <v>26</v>
      </c>
      <c r="I141" s="5"/>
      <c r="O141" t="s">
        <v>29</v>
      </c>
      <c r="P141" t="s">
        <v>221</v>
      </c>
      <c r="R141" s="2"/>
      <c r="S141" t="s">
        <v>202</v>
      </c>
      <c r="T141">
        <v>129188632</v>
      </c>
      <c r="U141">
        <v>129213545</v>
      </c>
      <c r="V141" s="3">
        <f t="shared" si="2"/>
        <v>24914</v>
      </c>
      <c r="W141" t="s">
        <v>33</v>
      </c>
    </row>
    <row r="142" spans="1:23">
      <c r="A142" s="1" t="s">
        <v>379</v>
      </c>
      <c r="B142" t="s">
        <v>380</v>
      </c>
      <c r="C142" s="4" t="s">
        <v>49</v>
      </c>
      <c r="D142" s="4" t="s">
        <v>24</v>
      </c>
      <c r="E142" s="4"/>
      <c r="F142" t="s">
        <v>26</v>
      </c>
      <c r="I142" s="5"/>
      <c r="O142" t="s">
        <v>29</v>
      </c>
      <c r="P142" t="s">
        <v>221</v>
      </c>
      <c r="R142" s="2"/>
      <c r="S142" t="s">
        <v>202</v>
      </c>
      <c r="T142">
        <v>140719326</v>
      </c>
      <c r="U142">
        <v>140924929</v>
      </c>
      <c r="V142" s="3">
        <f t="shared" si="2"/>
        <v>205604</v>
      </c>
      <c r="W142" t="s">
        <v>38</v>
      </c>
    </row>
    <row r="143" spans="1:23">
      <c r="A143" s="1" t="s">
        <v>381</v>
      </c>
      <c r="B143" t="s">
        <v>382</v>
      </c>
      <c r="C143" s="4" t="s">
        <v>49</v>
      </c>
      <c r="D143" s="4" t="s">
        <v>24</v>
      </c>
      <c r="E143" s="4"/>
      <c r="F143" t="s">
        <v>26</v>
      </c>
      <c r="I143" s="5"/>
      <c r="O143" t="s">
        <v>29</v>
      </c>
      <c r="P143" t="s">
        <v>221</v>
      </c>
      <c r="R143" s="2"/>
      <c r="S143" t="s">
        <v>202</v>
      </c>
      <c r="T143">
        <v>148807256</v>
      </c>
      <c r="U143">
        <v>148884321</v>
      </c>
      <c r="V143" s="3">
        <f t="shared" si="2"/>
        <v>77066</v>
      </c>
      <c r="W143" t="s">
        <v>38</v>
      </c>
    </row>
    <row r="144" spans="1:23">
      <c r="A144" s="1" t="s">
        <v>383</v>
      </c>
      <c r="B144" t="s">
        <v>384</v>
      </c>
      <c r="C144" s="4" t="s">
        <v>49</v>
      </c>
      <c r="D144" s="4" t="s">
        <v>24</v>
      </c>
      <c r="E144" s="4"/>
      <c r="F144" t="s">
        <v>26</v>
      </c>
      <c r="I144" s="5"/>
      <c r="O144" t="s">
        <v>29</v>
      </c>
      <c r="P144" t="s">
        <v>221</v>
      </c>
      <c r="R144" s="2"/>
      <c r="S144" t="s">
        <v>67</v>
      </c>
      <c r="T144">
        <v>4984389</v>
      </c>
      <c r="U144">
        <v>5129948</v>
      </c>
      <c r="V144" s="3">
        <f t="shared" si="2"/>
        <v>145560</v>
      </c>
      <c r="W144" t="s">
        <v>33</v>
      </c>
    </row>
    <row r="145" spans="1:23">
      <c r="A145" s="1" t="s">
        <v>385</v>
      </c>
      <c r="B145" t="s">
        <v>386</v>
      </c>
      <c r="C145" s="4" t="s">
        <v>49</v>
      </c>
      <c r="D145" s="4" t="s">
        <v>24</v>
      </c>
      <c r="E145" s="4"/>
      <c r="F145" t="s">
        <v>26</v>
      </c>
      <c r="I145" s="5"/>
      <c r="O145" t="s">
        <v>29</v>
      </c>
      <c r="P145" t="s">
        <v>221</v>
      </c>
      <c r="R145" s="2"/>
      <c r="S145" t="s">
        <v>67</v>
      </c>
      <c r="T145">
        <v>8314245</v>
      </c>
      <c r="U145">
        <v>10613002</v>
      </c>
      <c r="V145" s="3">
        <f t="shared" si="2"/>
        <v>2298758</v>
      </c>
      <c r="W145" t="s">
        <v>38</v>
      </c>
    </row>
    <row r="146" spans="1:23">
      <c r="A146" s="1" t="s">
        <v>387</v>
      </c>
      <c r="B146" t="s">
        <v>388</v>
      </c>
      <c r="C146" s="4" t="s">
        <v>49</v>
      </c>
      <c r="D146" s="4" t="s">
        <v>24</v>
      </c>
      <c r="E146" s="4"/>
      <c r="F146" t="s">
        <v>26</v>
      </c>
      <c r="I146" s="5"/>
      <c r="O146" t="s">
        <v>29</v>
      </c>
      <c r="P146" t="s">
        <v>256</v>
      </c>
      <c r="R146" s="2"/>
      <c r="S146" t="s">
        <v>67</v>
      </c>
      <c r="T146">
        <v>8858126</v>
      </c>
      <c r="U146">
        <v>8864772</v>
      </c>
      <c r="V146" s="3">
        <f t="shared" si="2"/>
        <v>6647</v>
      </c>
      <c r="W146" t="s">
        <v>33</v>
      </c>
    </row>
    <row r="147" spans="1:23">
      <c r="A147" s="1" t="s">
        <v>389</v>
      </c>
      <c r="B147" t="s">
        <v>390</v>
      </c>
      <c r="C147" s="4" t="s">
        <v>49</v>
      </c>
      <c r="D147" s="4" t="s">
        <v>24</v>
      </c>
      <c r="E147" s="4"/>
      <c r="F147" t="s">
        <v>26</v>
      </c>
      <c r="I147" s="5"/>
      <c r="O147" t="s">
        <v>29</v>
      </c>
      <c r="P147" t="s">
        <v>256</v>
      </c>
      <c r="R147" s="2"/>
      <c r="S147" t="s">
        <v>67</v>
      </c>
      <c r="T147">
        <v>10613201</v>
      </c>
      <c r="U147">
        <v>10620420</v>
      </c>
      <c r="V147" s="3">
        <f t="shared" si="2"/>
        <v>7220</v>
      </c>
      <c r="W147" t="s">
        <v>33</v>
      </c>
    </row>
    <row r="148" spans="1:23">
      <c r="A148" s="1" t="s">
        <v>391</v>
      </c>
      <c r="B148" t="s">
        <v>392</v>
      </c>
      <c r="C148" s="4" t="s">
        <v>49</v>
      </c>
      <c r="D148" s="4" t="s">
        <v>24</v>
      </c>
      <c r="E148" s="4"/>
      <c r="F148" t="s">
        <v>26</v>
      </c>
      <c r="I148" s="5"/>
      <c r="O148" t="s">
        <v>29</v>
      </c>
      <c r="P148" t="s">
        <v>256</v>
      </c>
      <c r="R148" s="2"/>
      <c r="S148" t="s">
        <v>67</v>
      </c>
      <c r="T148">
        <v>21966928</v>
      </c>
      <c r="U148">
        <v>21967751</v>
      </c>
      <c r="V148" s="3">
        <f t="shared" si="2"/>
        <v>824</v>
      </c>
      <c r="W148" t="s">
        <v>33</v>
      </c>
    </row>
    <row r="149" spans="1:23">
      <c r="A149" s="1" t="s">
        <v>393</v>
      </c>
      <c r="B149" t="s">
        <v>394</v>
      </c>
      <c r="C149" s="4" t="s">
        <v>49</v>
      </c>
      <c r="D149" s="4" t="s">
        <v>24</v>
      </c>
      <c r="E149" s="4"/>
      <c r="F149" t="s">
        <v>26</v>
      </c>
      <c r="I149" s="5"/>
      <c r="O149" t="s">
        <v>29</v>
      </c>
      <c r="P149" t="s">
        <v>221</v>
      </c>
      <c r="R149" s="2"/>
      <c r="S149" t="s">
        <v>67</v>
      </c>
      <c r="T149">
        <v>21967751</v>
      </c>
      <c r="U149">
        <v>21995301</v>
      </c>
      <c r="V149" s="3">
        <f t="shared" si="2"/>
        <v>27551</v>
      </c>
      <c r="W149" t="s">
        <v>38</v>
      </c>
    </row>
    <row r="150" spans="1:23">
      <c r="A150" s="1" t="s">
        <v>395</v>
      </c>
      <c r="B150" t="s">
        <v>396</v>
      </c>
      <c r="C150" s="4" t="s">
        <v>49</v>
      </c>
      <c r="D150" s="4" t="s">
        <v>24</v>
      </c>
      <c r="E150" s="4"/>
      <c r="F150" t="s">
        <v>26</v>
      </c>
      <c r="I150" s="5"/>
      <c r="O150" t="s">
        <v>29</v>
      </c>
      <c r="P150" t="s">
        <v>221</v>
      </c>
      <c r="R150" s="2"/>
      <c r="S150" t="s">
        <v>67</v>
      </c>
      <c r="T150">
        <v>136494432</v>
      </c>
      <c r="U150">
        <v>136546048</v>
      </c>
      <c r="V150" s="3">
        <f t="shared" si="2"/>
        <v>51617</v>
      </c>
      <c r="W150" t="s">
        <v>38</v>
      </c>
    </row>
    <row r="151" spans="1:23">
      <c r="A151" s="1" t="s">
        <v>397</v>
      </c>
      <c r="B151" t="s">
        <v>398</v>
      </c>
      <c r="C151" s="4" t="s">
        <v>49</v>
      </c>
      <c r="D151" s="4" t="s">
        <v>24</v>
      </c>
      <c r="E151" s="4"/>
      <c r="F151" t="s">
        <v>26</v>
      </c>
      <c r="I151" s="5"/>
      <c r="O151" t="s">
        <v>29</v>
      </c>
      <c r="P151" t="s">
        <v>221</v>
      </c>
      <c r="R151" s="2"/>
      <c r="S151" t="s">
        <v>93</v>
      </c>
      <c r="T151">
        <v>101349446</v>
      </c>
      <c r="U151">
        <v>101390796</v>
      </c>
      <c r="V151" s="3">
        <f t="shared" si="2"/>
        <v>41351</v>
      </c>
      <c r="W151" t="s">
        <v>38</v>
      </c>
    </row>
    <row r="152" spans="1:23">
      <c r="A152" s="1" t="s">
        <v>399</v>
      </c>
      <c r="B152" t="s">
        <v>400</v>
      </c>
      <c r="C152" s="4" t="s">
        <v>49</v>
      </c>
      <c r="D152" s="4" t="s">
        <v>24</v>
      </c>
      <c r="E152" s="4"/>
      <c r="F152" t="s">
        <v>26</v>
      </c>
      <c r="I152" s="5"/>
      <c r="O152" t="s">
        <v>29</v>
      </c>
      <c r="P152" t="s">
        <v>221</v>
      </c>
      <c r="R152" s="2"/>
      <c r="S152" t="s">
        <v>93</v>
      </c>
      <c r="T152">
        <v>15790484</v>
      </c>
      <c r="U152">
        <v>15823260</v>
      </c>
      <c r="V152" s="3">
        <f t="shared" si="2"/>
        <v>32777</v>
      </c>
      <c r="W152" t="s">
        <v>33</v>
      </c>
    </row>
    <row r="153" spans="1:23">
      <c r="A153" s="1" t="s">
        <v>401</v>
      </c>
      <c r="B153" t="s">
        <v>402</v>
      </c>
      <c r="C153" s="4" t="s">
        <v>49</v>
      </c>
      <c r="D153" s="4" t="s">
        <v>24</v>
      </c>
      <c r="E153" s="4"/>
      <c r="F153" t="s">
        <v>26</v>
      </c>
      <c r="I153" s="5"/>
      <c r="O153" t="s">
        <v>29</v>
      </c>
      <c r="P153" t="s">
        <v>221</v>
      </c>
      <c r="R153" s="2"/>
      <c r="S153" t="s">
        <v>93</v>
      </c>
      <c r="T153">
        <v>40051251</v>
      </c>
      <c r="U153">
        <v>40097958</v>
      </c>
      <c r="V153" s="3">
        <f t="shared" si="2"/>
        <v>46708</v>
      </c>
      <c r="W153" t="s">
        <v>38</v>
      </c>
    </row>
    <row r="154" spans="1:23">
      <c r="A154" s="1" t="s">
        <v>403</v>
      </c>
      <c r="B154" t="s">
        <v>404</v>
      </c>
      <c r="C154" s="4" t="s">
        <v>49</v>
      </c>
      <c r="D154" s="4" t="s">
        <v>24</v>
      </c>
      <c r="E154" s="4"/>
      <c r="F154" t="s">
        <v>26</v>
      </c>
      <c r="I154" s="5"/>
      <c r="O154" t="s">
        <v>29</v>
      </c>
      <c r="P154" t="s">
        <v>221</v>
      </c>
      <c r="R154" s="2"/>
      <c r="S154" t="s">
        <v>93</v>
      </c>
      <c r="T154">
        <v>123961706</v>
      </c>
      <c r="U154">
        <v>124102656</v>
      </c>
      <c r="V154" s="3">
        <f t="shared" si="2"/>
        <v>140951</v>
      </c>
      <c r="W154" t="s">
        <v>33</v>
      </c>
    </row>
    <row r="155" spans="1:23">
      <c r="A155" s="1" t="s">
        <v>405</v>
      </c>
      <c r="B155" t="s">
        <v>406</v>
      </c>
      <c r="C155" s="4" t="s">
        <v>49</v>
      </c>
      <c r="D155" s="4" t="s">
        <v>24</v>
      </c>
      <c r="E155" s="4"/>
      <c r="F155" t="s">
        <v>26</v>
      </c>
      <c r="I155" s="5"/>
      <c r="L155" t="s">
        <v>407</v>
      </c>
      <c r="O155" t="s">
        <v>29</v>
      </c>
      <c r="R155" s="8" t="s">
        <v>408</v>
      </c>
      <c r="S155" s="9" t="s">
        <v>42</v>
      </c>
      <c r="T155">
        <v>125625162</v>
      </c>
      <c r="U155">
        <v>125657147</v>
      </c>
      <c r="V155" s="3">
        <f t="shared" si="2"/>
        <v>31986</v>
      </c>
      <c r="W155" t="s">
        <v>33</v>
      </c>
    </row>
    <row r="156" spans="1:23">
      <c r="A156" s="1" t="s">
        <v>409</v>
      </c>
      <c r="B156" t="s">
        <v>410</v>
      </c>
      <c r="C156" s="4" t="s">
        <v>49</v>
      </c>
      <c r="D156" s="4" t="s">
        <v>24</v>
      </c>
      <c r="E156" s="4"/>
      <c r="F156" t="s">
        <v>26</v>
      </c>
      <c r="I156" s="5"/>
      <c r="L156" t="s">
        <v>407</v>
      </c>
      <c r="O156" t="s">
        <v>29</v>
      </c>
      <c r="R156" s="8" t="s">
        <v>408</v>
      </c>
      <c r="S156" s="9" t="s">
        <v>46</v>
      </c>
      <c r="T156">
        <v>39461485</v>
      </c>
      <c r="U156">
        <v>39534544</v>
      </c>
      <c r="V156" s="3">
        <f t="shared" si="2"/>
        <v>73060</v>
      </c>
      <c r="W156" t="s">
        <v>33</v>
      </c>
    </row>
    <row r="157" spans="1:23">
      <c r="A157" s="1" t="s">
        <v>411</v>
      </c>
      <c r="B157" t="s">
        <v>412</v>
      </c>
      <c r="C157" s="4" t="s">
        <v>49</v>
      </c>
      <c r="D157" s="4" t="s">
        <v>24</v>
      </c>
      <c r="E157" s="4"/>
      <c r="F157" t="s">
        <v>26</v>
      </c>
      <c r="I157" s="5"/>
      <c r="L157" t="s">
        <v>407</v>
      </c>
      <c r="O157" t="s">
        <v>29</v>
      </c>
      <c r="R157" s="8" t="s">
        <v>408</v>
      </c>
      <c r="S157" s="9" t="s">
        <v>56</v>
      </c>
      <c r="T157">
        <v>58159246</v>
      </c>
      <c r="U157">
        <v>58241325</v>
      </c>
      <c r="V157" s="3">
        <f t="shared" si="2"/>
        <v>82080</v>
      </c>
      <c r="W157" t="s">
        <v>38</v>
      </c>
    </row>
    <row r="158" spans="1:23">
      <c r="A158" s="1" t="s">
        <v>413</v>
      </c>
      <c r="B158" t="s">
        <v>414</v>
      </c>
      <c r="C158" s="4" t="s">
        <v>49</v>
      </c>
      <c r="D158" s="4" t="s">
        <v>24</v>
      </c>
      <c r="E158" s="4"/>
      <c r="F158" t="s">
        <v>26</v>
      </c>
      <c r="I158" s="5"/>
      <c r="L158" t="s">
        <v>407</v>
      </c>
      <c r="O158" t="s">
        <v>29</v>
      </c>
      <c r="R158" s="8" t="s">
        <v>408</v>
      </c>
      <c r="S158" s="9" t="s">
        <v>76</v>
      </c>
      <c r="T158">
        <v>26291507</v>
      </c>
      <c r="U158">
        <v>26372680</v>
      </c>
      <c r="V158" s="3">
        <f t="shared" si="2"/>
        <v>81174</v>
      </c>
      <c r="W158" t="s">
        <v>33</v>
      </c>
    </row>
    <row r="159" spans="1:23">
      <c r="A159" s="1" t="s">
        <v>415</v>
      </c>
      <c r="B159" t="s">
        <v>416</v>
      </c>
      <c r="C159" s="4" t="s">
        <v>49</v>
      </c>
      <c r="D159" s="4" t="s">
        <v>24</v>
      </c>
      <c r="E159" s="4"/>
      <c r="F159" t="s">
        <v>26</v>
      </c>
      <c r="I159" s="5"/>
      <c r="L159" t="s">
        <v>407</v>
      </c>
      <c r="O159" t="s">
        <v>29</v>
      </c>
      <c r="R159" s="8" t="s">
        <v>408</v>
      </c>
      <c r="S159" s="9" t="s">
        <v>37</v>
      </c>
      <c r="T159">
        <v>67819778</v>
      </c>
      <c r="U159">
        <v>68478093</v>
      </c>
      <c r="V159" s="3">
        <f t="shared" si="2"/>
        <v>658316</v>
      </c>
      <c r="W159" t="s">
        <v>33</v>
      </c>
    </row>
    <row r="160" spans="1:23">
      <c r="A160" s="1" t="s">
        <v>417</v>
      </c>
      <c r="B160" t="s">
        <v>418</v>
      </c>
      <c r="C160" s="4" t="s">
        <v>49</v>
      </c>
      <c r="D160" s="4" t="s">
        <v>24</v>
      </c>
      <c r="E160" s="4"/>
      <c r="F160" t="s">
        <v>26</v>
      </c>
      <c r="I160" s="5"/>
      <c r="L160" t="s">
        <v>407</v>
      </c>
      <c r="O160" t="s">
        <v>29</v>
      </c>
      <c r="R160" s="8" t="s">
        <v>408</v>
      </c>
      <c r="S160" s="9" t="s">
        <v>64</v>
      </c>
      <c r="T160">
        <v>46247762</v>
      </c>
      <c r="U160">
        <v>46278473</v>
      </c>
      <c r="V160" s="3">
        <f t="shared" si="2"/>
        <v>30712</v>
      </c>
      <c r="W160" t="s">
        <v>33</v>
      </c>
    </row>
    <row r="161" spans="1:23">
      <c r="A161" s="1" t="s">
        <v>419</v>
      </c>
      <c r="B161" t="s">
        <v>420</v>
      </c>
      <c r="C161" s="4" t="s">
        <v>49</v>
      </c>
      <c r="D161" s="4" t="s">
        <v>24</v>
      </c>
      <c r="E161" s="4"/>
      <c r="F161" t="s">
        <v>26</v>
      </c>
      <c r="I161" s="5"/>
      <c r="L161" t="s">
        <v>407</v>
      </c>
      <c r="O161" t="s">
        <v>29</v>
      </c>
      <c r="R161" s="8" t="s">
        <v>408</v>
      </c>
      <c r="S161" s="9" t="s">
        <v>56</v>
      </c>
      <c r="T161">
        <v>29192773</v>
      </c>
      <c r="U161">
        <v>29921586</v>
      </c>
      <c r="V161" s="3">
        <f t="shared" si="2"/>
        <v>728814</v>
      </c>
      <c r="W161" t="s">
        <v>38</v>
      </c>
    </row>
    <row r="162" spans="1:23">
      <c r="A162" s="1" t="s">
        <v>421</v>
      </c>
      <c r="B162" t="s">
        <v>422</v>
      </c>
      <c r="C162" s="4" t="s">
        <v>49</v>
      </c>
      <c r="D162" s="4" t="s">
        <v>24</v>
      </c>
      <c r="E162" s="4"/>
      <c r="F162" t="s">
        <v>26</v>
      </c>
      <c r="I162" s="5"/>
      <c r="L162" t="s">
        <v>407</v>
      </c>
      <c r="O162" t="s">
        <v>29</v>
      </c>
      <c r="R162" s="8" t="s">
        <v>408</v>
      </c>
      <c r="S162" s="9" t="s">
        <v>59</v>
      </c>
      <c r="T162">
        <v>89737548</v>
      </c>
      <c r="U162">
        <v>89816647</v>
      </c>
      <c r="V162" s="3">
        <f t="shared" si="2"/>
        <v>79100</v>
      </c>
      <c r="W162" t="s">
        <v>38</v>
      </c>
    </row>
    <row r="163" spans="1:23">
      <c r="A163" s="1" t="s">
        <v>423</v>
      </c>
      <c r="B163" t="s">
        <v>424</v>
      </c>
      <c r="C163" s="4" t="s">
        <v>49</v>
      </c>
      <c r="D163" s="4" t="s">
        <v>24</v>
      </c>
      <c r="E163" s="4"/>
      <c r="F163" t="s">
        <v>26</v>
      </c>
      <c r="I163" s="5"/>
      <c r="L163" t="s">
        <v>407</v>
      </c>
      <c r="O163" t="s">
        <v>29</v>
      </c>
      <c r="R163" s="8" t="s">
        <v>408</v>
      </c>
      <c r="S163" s="9" t="s">
        <v>32</v>
      </c>
      <c r="T163">
        <v>113933027</v>
      </c>
      <c r="U163">
        <v>113971148</v>
      </c>
      <c r="V163" s="3">
        <f t="shared" si="2"/>
        <v>38122</v>
      </c>
      <c r="W163" t="s">
        <v>38</v>
      </c>
    </row>
    <row r="164" spans="1:23">
      <c r="A164" s="1" t="s">
        <v>425</v>
      </c>
      <c r="B164" t="s">
        <v>426</v>
      </c>
      <c r="C164" s="4" t="s">
        <v>49</v>
      </c>
      <c r="D164" s="4" t="s">
        <v>24</v>
      </c>
      <c r="E164" s="4"/>
      <c r="F164" t="s">
        <v>26</v>
      </c>
      <c r="I164" s="5"/>
      <c r="L164" t="s">
        <v>407</v>
      </c>
      <c r="O164" t="s">
        <v>29</v>
      </c>
      <c r="R164" s="8" t="s">
        <v>408</v>
      </c>
      <c r="S164" s="9" t="s">
        <v>42</v>
      </c>
      <c r="T164">
        <v>94415569</v>
      </c>
      <c r="U164">
        <v>94493844</v>
      </c>
      <c r="V164" s="3">
        <f t="shared" si="2"/>
        <v>78276</v>
      </c>
      <c r="W164" t="s">
        <v>38</v>
      </c>
    </row>
    <row r="165" spans="1:23">
      <c r="A165" s="1" t="s">
        <v>427</v>
      </c>
      <c r="B165" t="s">
        <v>428</v>
      </c>
      <c r="C165" s="4" t="s">
        <v>49</v>
      </c>
      <c r="D165" s="4" t="s">
        <v>24</v>
      </c>
      <c r="E165" s="4"/>
      <c r="F165" t="s">
        <v>26</v>
      </c>
      <c r="I165" s="5"/>
      <c r="L165" t="s">
        <v>407</v>
      </c>
      <c r="O165" t="s">
        <v>29</v>
      </c>
      <c r="R165" s="8" t="s">
        <v>408</v>
      </c>
      <c r="S165" s="9" t="s">
        <v>76</v>
      </c>
      <c r="T165">
        <v>89933330</v>
      </c>
      <c r="U165">
        <v>89984667</v>
      </c>
      <c r="V165" s="3">
        <f t="shared" si="2"/>
        <v>51338</v>
      </c>
      <c r="W165" t="s">
        <v>38</v>
      </c>
    </row>
    <row r="166" spans="1:23">
      <c r="A166" s="1" t="s">
        <v>429</v>
      </c>
      <c r="B166" t="s">
        <v>430</v>
      </c>
      <c r="C166" s="4" t="s">
        <v>49</v>
      </c>
      <c r="D166" s="4" t="s">
        <v>24</v>
      </c>
      <c r="E166" s="4"/>
      <c r="F166" t="s">
        <v>26</v>
      </c>
      <c r="I166" s="5"/>
      <c r="L166" t="s">
        <v>407</v>
      </c>
      <c r="O166" t="s">
        <v>29</v>
      </c>
      <c r="R166" s="8" t="s">
        <v>408</v>
      </c>
      <c r="S166" s="9" t="s">
        <v>70</v>
      </c>
      <c r="T166">
        <v>90717345</v>
      </c>
      <c r="U166">
        <v>90816166</v>
      </c>
      <c r="V166" s="3">
        <f t="shared" si="2"/>
        <v>98822</v>
      </c>
      <c r="W166" t="s">
        <v>33</v>
      </c>
    </row>
    <row r="167" spans="1:23">
      <c r="A167" s="1">
        <v>301</v>
      </c>
      <c r="B167" t="s">
        <v>431</v>
      </c>
      <c r="C167" t="s">
        <v>432</v>
      </c>
      <c r="D167" t="s">
        <v>24</v>
      </c>
      <c r="E167" t="s">
        <v>433</v>
      </c>
      <c r="L167" t="s">
        <v>434</v>
      </c>
      <c r="O167" t="s">
        <v>129</v>
      </c>
      <c r="R167" s="2" t="s">
        <v>36</v>
      </c>
      <c r="V167" s="3"/>
    </row>
    <row r="168" spans="1:23">
      <c r="A168" s="1">
        <v>302</v>
      </c>
      <c r="B168" t="s">
        <v>435</v>
      </c>
      <c r="C168" t="s">
        <v>432</v>
      </c>
      <c r="D168" t="s">
        <v>24</v>
      </c>
      <c r="E168" t="s">
        <v>436</v>
      </c>
      <c r="L168" t="s">
        <v>44</v>
      </c>
      <c r="O168" t="s">
        <v>129</v>
      </c>
      <c r="R168" s="2" t="s">
        <v>36</v>
      </c>
      <c r="V168" s="3"/>
    </row>
    <row r="169" spans="1:23">
      <c r="A169" s="1">
        <v>303</v>
      </c>
      <c r="B169" t="s">
        <v>437</v>
      </c>
      <c r="C169" t="s">
        <v>432</v>
      </c>
      <c r="D169" t="s">
        <v>24</v>
      </c>
      <c r="E169" t="s">
        <v>438</v>
      </c>
      <c r="L169" t="s">
        <v>44</v>
      </c>
      <c r="O169" t="s">
        <v>129</v>
      </c>
      <c r="R169" s="2" t="s">
        <v>36</v>
      </c>
      <c r="V169" s="3"/>
    </row>
    <row r="170" spans="1:23">
      <c r="A170" s="1">
        <v>304</v>
      </c>
      <c r="B170" t="s">
        <v>439</v>
      </c>
      <c r="C170" t="s">
        <v>432</v>
      </c>
      <c r="D170" t="s">
        <v>24</v>
      </c>
      <c r="E170" t="s">
        <v>440</v>
      </c>
      <c r="L170" t="s">
        <v>441</v>
      </c>
      <c r="O170" t="s">
        <v>129</v>
      </c>
      <c r="R170" s="2" t="s">
        <v>36</v>
      </c>
      <c r="V170" s="3"/>
    </row>
    <row r="171" spans="1:23">
      <c r="A171" s="1">
        <v>305</v>
      </c>
      <c r="B171" t="s">
        <v>407</v>
      </c>
      <c r="C171" t="s">
        <v>432</v>
      </c>
      <c r="D171" t="s">
        <v>24</v>
      </c>
      <c r="O171" t="s">
        <v>129</v>
      </c>
      <c r="R171" s="2"/>
      <c r="V171" s="3"/>
    </row>
    <row r="172" spans="1:23">
      <c r="A172" s="10" t="s">
        <v>442</v>
      </c>
      <c r="B172" t="s">
        <v>443</v>
      </c>
      <c r="C172" t="s">
        <v>444</v>
      </c>
      <c r="D172" t="s">
        <v>24</v>
      </c>
      <c r="I172" t="s">
        <v>163</v>
      </c>
      <c r="O172" t="s">
        <v>29</v>
      </c>
      <c r="R172" s="2" t="s">
        <v>445</v>
      </c>
      <c r="T172" s="3"/>
      <c r="U172" s="3"/>
      <c r="V172" s="3"/>
    </row>
    <row r="173" spans="1:23">
      <c r="A173" s="10" t="s">
        <v>446</v>
      </c>
      <c r="B173" t="s">
        <v>447</v>
      </c>
      <c r="C173" t="s">
        <v>444</v>
      </c>
      <c r="D173" t="s">
        <v>24</v>
      </c>
      <c r="I173" t="s">
        <v>163</v>
      </c>
      <c r="O173" t="s">
        <v>29</v>
      </c>
      <c r="R173" s="2"/>
      <c r="T173" s="3"/>
      <c r="U173" s="3"/>
      <c r="V173" s="3"/>
    </row>
    <row r="174" spans="1:23">
      <c r="A174" s="10" t="s">
        <v>448</v>
      </c>
      <c r="B174" t="s">
        <v>449</v>
      </c>
      <c r="C174" t="s">
        <v>450</v>
      </c>
      <c r="D174" t="s">
        <v>24</v>
      </c>
      <c r="I174" t="s">
        <v>28</v>
      </c>
      <c r="O174" t="s">
        <v>29</v>
      </c>
      <c r="R174" s="2"/>
      <c r="T174" s="3"/>
      <c r="U174" s="3"/>
      <c r="V174" s="3"/>
    </row>
    <row r="175" spans="1:23">
      <c r="A175" s="10" t="s">
        <v>451</v>
      </c>
      <c r="B175" t="s">
        <v>452</v>
      </c>
      <c r="C175" t="s">
        <v>450</v>
      </c>
      <c r="D175" t="s">
        <v>24</v>
      </c>
      <c r="I175" t="s">
        <v>28</v>
      </c>
      <c r="O175" t="s">
        <v>29</v>
      </c>
      <c r="R175" s="2"/>
      <c r="T175" s="3"/>
      <c r="U175" s="3"/>
      <c r="V175" s="3"/>
    </row>
    <row r="176" spans="1:23">
      <c r="A176" s="10" t="s">
        <v>453</v>
      </c>
      <c r="B176" t="s">
        <v>454</v>
      </c>
      <c r="C176" t="s">
        <v>450</v>
      </c>
      <c r="D176" t="s">
        <v>24</v>
      </c>
      <c r="I176" t="s">
        <v>28</v>
      </c>
      <c r="O176" t="s">
        <v>29</v>
      </c>
      <c r="R176" s="2"/>
      <c r="T176" s="3"/>
      <c r="U176" s="3"/>
      <c r="V176" s="3"/>
    </row>
    <row r="177" spans="1:22">
      <c r="A177" s="10" t="s">
        <v>455</v>
      </c>
      <c r="B177" t="s">
        <v>456</v>
      </c>
      <c r="C177" t="s">
        <v>450</v>
      </c>
      <c r="D177" t="s">
        <v>24</v>
      </c>
      <c r="I177" t="s">
        <v>28</v>
      </c>
      <c r="O177" t="s">
        <v>29</v>
      </c>
      <c r="R177" s="2"/>
      <c r="T177" s="3"/>
      <c r="U177" s="3"/>
      <c r="V177" s="3"/>
    </row>
    <row r="178" spans="1:22">
      <c r="A178" s="10" t="s">
        <v>457</v>
      </c>
      <c r="B178" t="s">
        <v>458</v>
      </c>
      <c r="C178" t="s">
        <v>450</v>
      </c>
      <c r="D178" t="s">
        <v>24</v>
      </c>
      <c r="I178" t="s">
        <v>28</v>
      </c>
      <c r="O178" t="s">
        <v>29</v>
      </c>
      <c r="R178" s="2"/>
      <c r="T178" s="3"/>
      <c r="U178" s="3"/>
      <c r="V178" s="3"/>
    </row>
    <row r="179" spans="1:22">
      <c r="A179" s="10" t="s">
        <v>459</v>
      </c>
      <c r="B179" t="s">
        <v>460</v>
      </c>
      <c r="C179" t="s">
        <v>450</v>
      </c>
      <c r="D179" t="s">
        <v>24</v>
      </c>
      <c r="I179" t="s">
        <v>28</v>
      </c>
      <c r="O179" t="s">
        <v>29</v>
      </c>
      <c r="R179" s="2"/>
      <c r="T179" s="3"/>
      <c r="U179" s="3"/>
      <c r="V179" s="3"/>
    </row>
    <row r="180" spans="1:22">
      <c r="A180" s="10" t="s">
        <v>461</v>
      </c>
      <c r="B180" t="s">
        <v>462</v>
      </c>
      <c r="C180" t="s">
        <v>450</v>
      </c>
      <c r="D180" t="s">
        <v>24</v>
      </c>
      <c r="I180" t="s">
        <v>28</v>
      </c>
      <c r="O180" t="s">
        <v>29</v>
      </c>
      <c r="R180" s="2"/>
      <c r="T180" s="3"/>
      <c r="U180" s="3"/>
      <c r="V180" s="3"/>
    </row>
    <row r="181" spans="1:22">
      <c r="A181" s="10" t="s">
        <v>463</v>
      </c>
      <c r="B181" t="s">
        <v>464</v>
      </c>
      <c r="C181" t="s">
        <v>450</v>
      </c>
      <c r="D181" t="s">
        <v>24</v>
      </c>
      <c r="I181" t="s">
        <v>28</v>
      </c>
      <c r="O181" t="s">
        <v>29</v>
      </c>
      <c r="R181" s="2"/>
      <c r="T181" s="3"/>
      <c r="U181" s="3"/>
      <c r="V181" s="3"/>
    </row>
    <row r="182" spans="1:22">
      <c r="A182" s="10" t="s">
        <v>465</v>
      </c>
      <c r="B182" t="s">
        <v>466</v>
      </c>
      <c r="C182" t="s">
        <v>450</v>
      </c>
      <c r="D182" t="s">
        <v>24</v>
      </c>
      <c r="I182" t="s">
        <v>28</v>
      </c>
      <c r="O182" t="s">
        <v>29</v>
      </c>
      <c r="R182" s="2"/>
      <c r="T182" s="3"/>
      <c r="U182" s="3"/>
      <c r="V182" s="3"/>
    </row>
    <row r="183" spans="1:22">
      <c r="A183" s="10" t="s">
        <v>467</v>
      </c>
      <c r="B183" t="s">
        <v>468</v>
      </c>
      <c r="C183" t="s">
        <v>450</v>
      </c>
      <c r="D183" t="s">
        <v>24</v>
      </c>
      <c r="I183" t="s">
        <v>28</v>
      </c>
      <c r="O183" t="s">
        <v>29</v>
      </c>
      <c r="R183" s="2"/>
      <c r="T183" s="3"/>
      <c r="U183" s="3"/>
      <c r="V183" s="3"/>
    </row>
    <row r="184" spans="1:22">
      <c r="A184" s="10" t="s">
        <v>469</v>
      </c>
      <c r="B184" t="s">
        <v>470</v>
      </c>
      <c r="C184" t="s">
        <v>450</v>
      </c>
      <c r="D184" t="s">
        <v>24</v>
      </c>
      <c r="I184" t="s">
        <v>28</v>
      </c>
      <c r="O184" t="s">
        <v>29</v>
      </c>
      <c r="R184" s="2"/>
      <c r="T184" s="3"/>
      <c r="U184" s="3"/>
      <c r="V184" s="3"/>
    </row>
    <row r="185" spans="1:22">
      <c r="A185" s="10" t="s">
        <v>471</v>
      </c>
      <c r="B185" t="s">
        <v>472</v>
      </c>
      <c r="C185" t="s">
        <v>473</v>
      </c>
      <c r="D185" t="s">
        <v>24</v>
      </c>
      <c r="I185" t="s">
        <v>474</v>
      </c>
      <c r="O185" t="s">
        <v>29</v>
      </c>
      <c r="R185" s="2"/>
      <c r="T185" s="3"/>
      <c r="U185" s="3"/>
      <c r="V185" s="3"/>
    </row>
    <row r="186" spans="1:22">
      <c r="A186" s="10" t="s">
        <v>475</v>
      </c>
      <c r="B186" t="s">
        <v>476</v>
      </c>
      <c r="C186" t="s">
        <v>473</v>
      </c>
      <c r="D186" t="s">
        <v>24</v>
      </c>
      <c r="I186" t="s">
        <v>477</v>
      </c>
      <c r="O186" t="s">
        <v>129</v>
      </c>
      <c r="R186" s="2"/>
      <c r="T186" s="3"/>
      <c r="U186" s="3"/>
      <c r="V186" s="3"/>
    </row>
    <row r="187" spans="1:22">
      <c r="A187" s="10" t="s">
        <v>478</v>
      </c>
      <c r="B187" t="s">
        <v>479</v>
      </c>
      <c r="C187" t="s">
        <v>473</v>
      </c>
      <c r="D187" t="s">
        <v>24</v>
      </c>
      <c r="O187" t="s">
        <v>129</v>
      </c>
      <c r="R187" s="2"/>
      <c r="T187" s="3"/>
      <c r="U187" s="3"/>
      <c r="V187" s="3"/>
    </row>
    <row r="188" spans="1:22">
      <c r="A188" s="10" t="s">
        <v>480</v>
      </c>
      <c r="B188" t="s">
        <v>481</v>
      </c>
      <c r="C188" t="s">
        <v>482</v>
      </c>
      <c r="D188" t="s">
        <v>24</v>
      </c>
      <c r="O188" t="s">
        <v>129</v>
      </c>
      <c r="R188" s="2"/>
      <c r="T188" s="3"/>
      <c r="U188" s="3"/>
      <c r="V188" s="3"/>
    </row>
  </sheetData>
  <conditionalFormatting sqref="B103 S133:U133 S103:U103 B133">
    <cfRule type="duplicateValues" dxfId="1" priority="2"/>
  </conditionalFormatting>
  <conditionalFormatting sqref="P101 T101:U101">
    <cfRule type="duplicateValues" dxfId="0" priority="1"/>
  </conditionalFormatting>
  <dataValidations count="1">
    <dataValidation type="list" allowBlank="1" showInputMessage="1" showErrorMessage="1" sqref="C2:C188" xr:uid="{3D8E729E-148A-45EC-A3D5-65A5A84B5C2A}">
      <formula1>"snp, sv, mod, area_mutations, expression, exp_ratio, immune_ratio, immune_inf, microsatellite, composite, demographic, clinicopathology"</formula1>
    </dataValidation>
  </dataValidations>
  <hyperlinks>
    <hyperlink ref="R155" r:id="rId1" xr:uid="{ADC4CFA8-E453-4114-A80F-3303AC905CFD}"/>
    <hyperlink ref="R156:R166" r:id="rId2" display="https://pmc.ncbi.nlm.nih.gov/articles/PMC11846297/" xr:uid="{5FFACC63-751E-4EDE-8F92-94F4BDBBD2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panel_metadata_template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Picard</dc:creator>
  <cp:lastModifiedBy>Lucy Picard</cp:lastModifiedBy>
  <dcterms:created xsi:type="dcterms:W3CDTF">2026-09-29T06:56:37Z</dcterms:created>
  <dcterms:modified xsi:type="dcterms:W3CDTF">2026-09-29T07:04:04Z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99c939-b151-4941-af2c-952de9755475_Enabled">
    <vt:lpwstr>true</vt:lpwstr>
  </property>
  <property fmtid="{D5CDD505-2E9C-101B-9397-08002B2CF9AE}" pid="3" name="MSIP_Label_d199c939-b151-4941-af2c-952de9755475_SetDate">
    <vt:lpwstr>2026-09-29T06:57:05Z</vt:lpwstr>
  </property>
  <property fmtid="{D5CDD505-2E9C-101B-9397-08002B2CF9AE}" pid="4" name="MSIP_Label_d199c939-b151-4941-af2c-952de9755475_Method">
    <vt:lpwstr>Standard</vt:lpwstr>
  </property>
  <property fmtid="{D5CDD505-2E9C-101B-9397-08002B2CF9AE}" pid="5" name="MSIP_Label_d199c939-b151-4941-af2c-952de9755475_Name">
    <vt:lpwstr>Unlabelled Sensitivity</vt:lpwstr>
  </property>
  <property fmtid="{D5CDD505-2E9C-101B-9397-08002B2CF9AE}" pid="6" name="MSIP_Label_d199c939-b151-4941-af2c-952de9755475_SiteId">
    <vt:lpwstr>0225efc5-78fe-4928-b157-9ef24809e9ba</vt:lpwstr>
  </property>
  <property fmtid="{D5CDD505-2E9C-101B-9397-08002B2CF9AE}" pid="7" name="MSIP_Label_d199c939-b151-4941-af2c-952de9755475_ActionId">
    <vt:lpwstr>e7d9aae7-30a8-476d-854c-5d509e11594f</vt:lpwstr>
  </property>
  <property fmtid="{D5CDD505-2E9C-101B-9397-08002B2CF9AE}" pid="8" name="MSIP_Label_d199c939-b151-4941-af2c-952de9755475_ContentBits">
    <vt:lpwstr>0</vt:lpwstr>
  </property>
  <property fmtid="{D5CDD505-2E9C-101B-9397-08002B2CF9AE}" pid="9" name="MSIP_Label_d199c939-b151-4941-af2c-952de9755475_Tag">
    <vt:lpwstr>10, 3, 0, 1</vt:lpwstr>
  </property>
</Properties>
</file>